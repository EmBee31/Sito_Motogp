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<sst xmlns="http://schemas.openxmlformats.org/spreadsheetml/2006/main" count="329" uniqueCount="127">
  <si>
    <t>STAGIONE 2025: MOTO 2</t>
  </si>
  <si>
    <t>PILOTA</t>
  </si>
  <si>
    <t>PUNTI</t>
  </si>
  <si>
    <t>SCUDERIA</t>
  </si>
  <si>
    <t>THAILANDIA</t>
  </si>
  <si>
    <t>VALENCIA</t>
  </si>
  <si>
    <t>USA</t>
  </si>
  <si>
    <t>QATAR</t>
  </si>
  <si>
    <t>SPAGNA</t>
  </si>
  <si>
    <t>FRANCIA</t>
  </si>
  <si>
    <t>GRAN BRETAGNA</t>
  </si>
  <si>
    <t>ARAGON</t>
  </si>
  <si>
    <t>ITALIA</t>
  </si>
  <si>
    <t>OLANDA</t>
  </si>
  <si>
    <t>GERMANIA</t>
  </si>
  <si>
    <t>KAZAKHSTAN</t>
  </si>
  <si>
    <t>AUSTRIA</t>
  </si>
  <si>
    <t>INDIA</t>
  </si>
  <si>
    <t>CATALOGNA</t>
  </si>
  <si>
    <t>MISANO</t>
  </si>
  <si>
    <t>GIAPPONE</t>
  </si>
  <si>
    <t>INDONESIA</t>
  </si>
  <si>
    <t>AUSTRALIA</t>
  </si>
  <si>
    <t>MALESIA</t>
  </si>
  <si>
    <t>PORTOGALLO</t>
  </si>
  <si>
    <t>Aron Canet</t>
  </si>
  <si>
    <t>Fantic Racing</t>
  </si>
  <si>
    <t>RIT</t>
  </si>
  <si>
    <t>Xavier Cardalus</t>
  </si>
  <si>
    <t>Lorenzo Gabrielli</t>
  </si>
  <si>
    <t>Idrofoglia Racing GP</t>
  </si>
  <si>
    <t>Zonta van den Goorbergh</t>
  </si>
  <si>
    <t>Deniz Oncu</t>
  </si>
  <si>
    <t>Red Bull KTM Ajo</t>
  </si>
  <si>
    <t>Celestino Vietti</t>
  </si>
  <si>
    <t>Izan Guevara</t>
  </si>
  <si>
    <t>CF Moto</t>
  </si>
  <si>
    <t>Jake Dixon</t>
  </si>
  <si>
    <t>Ai Ogura</t>
  </si>
  <si>
    <t>MT Helmets</t>
  </si>
  <si>
    <t>Sergio Garcia</t>
  </si>
  <si>
    <t>Alonso Lopez</t>
  </si>
  <si>
    <t>Speed Up</t>
  </si>
  <si>
    <t>Fermin Aldeguer</t>
  </si>
  <si>
    <t>Xavier Artigas</t>
  </si>
  <si>
    <t>Klint Forward Racing Team</t>
  </si>
  <si>
    <t>Alex Escrig</t>
  </si>
  <si>
    <t>Manuel Bonelli</t>
  </si>
  <si>
    <t>VDS Racing Team</t>
  </si>
  <si>
    <t>Tony Arbolino</t>
  </si>
  <si>
    <t>Mario Aji</t>
  </si>
  <si>
    <t>Idemitsu Honda Team Asia</t>
  </si>
  <si>
    <t>Somkiat Chantra</t>
  </si>
  <si>
    <t>Dennis Foggia</t>
  </si>
  <si>
    <t>Italtrans Racing</t>
  </si>
  <si>
    <t>Diogo Moreira</t>
  </si>
  <si>
    <t>Darryn Binder</t>
  </si>
  <si>
    <t>Husquarna GP</t>
  </si>
  <si>
    <t>Senna Agius</t>
  </si>
  <si>
    <t>Marcus Ramirez</t>
  </si>
  <si>
    <t>Only Fans American Racing Team</t>
  </si>
  <si>
    <t>Joe Roberts</t>
  </si>
  <si>
    <t>Jaume Masia</t>
  </si>
  <si>
    <t>Preicanos Racing Team</t>
  </si>
  <si>
    <t>Daniel Muñoz</t>
  </si>
  <si>
    <t>Manuel Gonzales</t>
  </si>
  <si>
    <t>Gresini Moto2</t>
  </si>
  <si>
    <t>Albert Arenas</t>
  </si>
  <si>
    <t>Ayumu Sasaki</t>
  </si>
  <si>
    <t>VR46 Master Team</t>
  </si>
  <si>
    <t>Jeremy Alcoba</t>
  </si>
  <si>
    <t>Team</t>
  </si>
  <si>
    <t>Punti</t>
  </si>
  <si>
    <t>Costruttori</t>
  </si>
  <si>
    <t>Kalex</t>
  </si>
  <si>
    <t>Boscoscuro</t>
  </si>
  <si>
    <t>Forward</t>
  </si>
  <si>
    <t>TEMPI IN QUALIFICA</t>
  </si>
  <si>
    <t>POLE POSITION</t>
  </si>
  <si>
    <t>1:33.839</t>
  </si>
  <si>
    <t>1:32.302, Vietti</t>
  </si>
  <si>
    <t>2:06.986, Garcia</t>
  </si>
  <si>
    <t>1:56, 306, Aldeguer</t>
  </si>
  <si>
    <t>1:40, 413</t>
  </si>
  <si>
    <t>1:34.607, Aldeguer</t>
  </si>
  <si>
    <t>2:11.772</t>
  </si>
  <si>
    <t>1:50.063, Aldeguer</t>
  </si>
  <si>
    <t>1:49.931</t>
  </si>
  <si>
    <t>1:35.406, Garcia</t>
  </si>
  <si>
    <t>1:21.948</t>
  </si>
  <si>
    <t>1:40.649</t>
  </si>
  <si>
    <t>1:33.073, Lopez</t>
  </si>
  <si>
    <t>1:48,664, Aldeguer</t>
  </si>
  <si>
    <t>1:49.780, Garcia</t>
  </si>
  <si>
    <t>1:35.314</t>
  </si>
  <si>
    <t>1:33.839, pole</t>
  </si>
  <si>
    <t>1:34.402, 15esimo</t>
  </si>
  <si>
    <t>2:08.976, 17esimo</t>
  </si>
  <si>
    <t>1:58.111, 15esimo</t>
  </si>
  <si>
    <t>1:40, 413, pole,FL</t>
  </si>
  <si>
    <t>1:35.007, 10</t>
  </si>
  <si>
    <t>2:13.246, 16esimo</t>
  </si>
  <si>
    <t>1:51.300, 14esimo</t>
  </si>
  <si>
    <t>1:49.931, pole, FL</t>
  </si>
  <si>
    <t>1:35.839, 2</t>
  </si>
  <si>
    <t>1:21.948, pole</t>
  </si>
  <si>
    <t>1:40.649, pole, FL</t>
  </si>
  <si>
    <t>1:33.610, 10, FL</t>
  </si>
  <si>
    <t>1:49.364, 10</t>
  </si>
  <si>
    <t>1:50.378, 9</t>
  </si>
  <si>
    <t>1:35.314, pole</t>
  </si>
  <si>
    <t>1:34.373, 2</t>
  </si>
  <si>
    <t>1:34.006, 14esimo</t>
  </si>
  <si>
    <t>2:08.426, 15esimo</t>
  </si>
  <si>
    <t>1:58.110, 14esimo</t>
  </si>
  <si>
    <t>1:41.182, 2</t>
  </si>
  <si>
    <t>1:36.442, 16esimo</t>
  </si>
  <si>
    <t>2:11.772, pole</t>
  </si>
  <si>
    <t>1:51.668, 15esimo</t>
  </si>
  <si>
    <t>1:51.433, 4</t>
  </si>
  <si>
    <t>1:36.774, 3</t>
  </si>
  <si>
    <t>1:22.614, 9</t>
  </si>
  <si>
    <t>1:42.800, 10</t>
  </si>
  <si>
    <t>1:33.206, 2</t>
  </si>
  <si>
    <t>1:50.301, 14esimo</t>
  </si>
  <si>
    <t>1:49.829, 3</t>
  </si>
  <si>
    <t>1:36.115,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</si>
</sst>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25.0"/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10.0"/>
      <color rgb="FF202122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  <fill>
      <patternFill patternType="solid">
        <fgColor rgb="FFB45F06"/>
        <bgColor rgb="FFB45F06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4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vertical="bottom"/>
    </xf>
    <xf borderId="6" fillId="0" fontId="7" numFmtId="0" xfId="0" applyAlignment="1" applyBorder="1" applyFont="1">
      <alignment horizontal="center" readingOrder="0"/>
    </xf>
    <xf borderId="0" fillId="4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6" fontId="4" numFmtId="0" xfId="0" applyAlignment="1" applyFill="1" applyFont="1">
      <alignment horizontal="center" vertical="bottom"/>
    </xf>
    <xf borderId="6" fillId="0" fontId="7" numFmtId="0" xfId="0" applyAlignment="1" applyBorder="1" applyFont="1">
      <alignment horizontal="center"/>
    </xf>
    <xf borderId="0" fillId="7" fontId="4" numFmtId="0" xfId="0" applyAlignment="1" applyFill="1" applyFont="1">
      <alignment horizontal="center" vertical="bottom"/>
    </xf>
    <xf borderId="0" fillId="7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6" fontId="4" numFmtId="0" xfId="0" applyAlignment="1" applyFont="1">
      <alignment horizontal="center" readingOrder="0" vertical="bottom"/>
    </xf>
    <xf borderId="0" fillId="3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7" fontId="8" numFmtId="0" xfId="0" applyAlignment="1" applyFont="1">
      <alignment horizontal="center" readingOrder="0" shrinkToFit="0" vertical="bottom" wrapText="0"/>
    </xf>
    <xf borderId="0" fillId="6" fontId="8" numFmtId="0" xfId="0" applyAlignment="1" applyFont="1">
      <alignment horizontal="center" readingOrder="0" shrinkToFit="0" vertical="bottom" wrapText="0"/>
    </xf>
    <xf borderId="0" fillId="4" fontId="8" numFmtId="0" xfId="0" applyAlignment="1" applyFont="1">
      <alignment horizontal="center" readingOrder="0" shrinkToFit="0" vertical="bottom" wrapText="0"/>
    </xf>
    <xf borderId="0" fillId="5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shrinkToFit="0" vertical="bottom" wrapText="0"/>
    </xf>
    <xf borderId="6" fillId="0" fontId="5" numFmtId="0" xfId="0" applyAlignment="1" applyBorder="1" applyFont="1">
      <alignment readingOrder="0"/>
    </xf>
    <xf borderId="6" fillId="2" fontId="6" numFmtId="0" xfId="0" applyAlignment="1" applyBorder="1" applyFont="1">
      <alignment horizontal="center" readingOrder="0"/>
    </xf>
    <xf borderId="7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7" fillId="0" fontId="7" numFmtId="0" xfId="0" applyBorder="1" applyFont="1"/>
    <xf borderId="3" fillId="0" fontId="7" numFmtId="0" xfId="0" applyBorder="1" applyFont="1"/>
    <xf borderId="8" fillId="0" fontId="7" numFmtId="0" xfId="0" applyBorder="1" applyFont="1"/>
    <xf borderId="9" fillId="0" fontId="7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5" fillId="0" fontId="7" numFmtId="0" xfId="0" applyBorder="1" applyFont="1"/>
    <xf borderId="9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26.75"/>
    <col customWidth="1" min="4" max="4" width="14.25"/>
    <col customWidth="1" min="5" max="5" width="15.13"/>
    <col customWidth="1" min="6" max="6" width="14.38"/>
    <col customWidth="1" min="7" max="7" width="15.0"/>
    <col customWidth="1" min="8" max="8" width="16.38"/>
    <col customWidth="1" min="9" max="9" width="14.75"/>
    <col customWidth="1" min="10" max="10" width="15.75"/>
    <col customWidth="1" min="13" max="13" width="14.25"/>
    <col customWidth="1" min="15" max="15" width="14.75"/>
    <col customWidth="1" min="16" max="16" width="13.5"/>
    <col customWidth="1" min="26" max="27" width="14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>
        <v>25.0</v>
      </c>
      <c r="AA1" s="4"/>
    </row>
    <row r="2">
      <c r="A2" s="5"/>
      <c r="Z2" s="3">
        <v>20.0</v>
      </c>
      <c r="AA2" s="4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3">
        <v>16.0</v>
      </c>
      <c r="AA3" s="4"/>
    </row>
    <row r="4">
      <c r="A4" s="8" t="s">
        <v>1</v>
      </c>
      <c r="B4" s="8" t="s">
        <v>2</v>
      </c>
      <c r="C4" s="8" t="s">
        <v>3</v>
      </c>
      <c r="D4" s="9" t="s">
        <v>4</v>
      </c>
      <c r="E4" s="10" t="s">
        <v>5</v>
      </c>
      <c r="F4" s="9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9" t="s">
        <v>14</v>
      </c>
      <c r="O4" s="9" t="s">
        <v>15</v>
      </c>
      <c r="P4" s="9" t="s">
        <v>16</v>
      </c>
      <c r="Q4" s="9" t="s">
        <v>17</v>
      </c>
      <c r="R4" s="9" t="s">
        <v>18</v>
      </c>
      <c r="S4" s="9" t="s">
        <v>19</v>
      </c>
      <c r="T4" s="9" t="s">
        <v>20</v>
      </c>
      <c r="U4" s="9" t="s">
        <v>21</v>
      </c>
      <c r="V4" s="9" t="s">
        <v>22</v>
      </c>
      <c r="W4" s="9" t="s">
        <v>23</v>
      </c>
      <c r="X4" s="9" t="s">
        <v>24</v>
      </c>
      <c r="Y4" s="9" t="s">
        <v>5</v>
      </c>
      <c r="Z4" s="3">
        <v>13.0</v>
      </c>
      <c r="AA4" s="11">
        <v>1.0</v>
      </c>
    </row>
    <row r="5">
      <c r="A5" s="12" t="s">
        <v>25</v>
      </c>
      <c r="B5" s="12">
        <f>Z13 +Z11 +Z7 +Z10 +Z5 +Z9 +Z6 + Z8 + Z7 +Z4 +Z3</f>
        <v>97</v>
      </c>
      <c r="C5" s="12" t="s">
        <v>26</v>
      </c>
      <c r="D5" s="13">
        <v>13.0</v>
      </c>
      <c r="E5" s="13">
        <v>11.0</v>
      </c>
      <c r="F5" s="14" t="s">
        <v>27</v>
      </c>
      <c r="G5" s="13">
        <v>7.0</v>
      </c>
      <c r="H5" s="13">
        <v>10.0</v>
      </c>
      <c r="I5" s="13">
        <v>5.0</v>
      </c>
      <c r="J5" s="13">
        <v>9.0</v>
      </c>
      <c r="K5" s="13">
        <v>6.0</v>
      </c>
      <c r="L5" s="14" t="s">
        <v>27</v>
      </c>
      <c r="M5" s="12">
        <v>16.0</v>
      </c>
      <c r="N5" s="13">
        <v>8.0</v>
      </c>
      <c r="O5" s="13">
        <v>7.0</v>
      </c>
      <c r="P5" s="12">
        <v>20.0</v>
      </c>
      <c r="Q5" s="13">
        <v>4.0</v>
      </c>
      <c r="R5" s="15">
        <v>3.0</v>
      </c>
      <c r="S5" s="14" t="s">
        <v>27</v>
      </c>
      <c r="T5" s="16"/>
      <c r="U5" s="16"/>
      <c r="V5" s="16"/>
      <c r="W5" s="16"/>
      <c r="X5" s="16"/>
      <c r="Y5" s="16"/>
      <c r="Z5" s="3">
        <v>11.0</v>
      </c>
      <c r="AA5" s="17">
        <v>2.0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3">
        <v>10.0</v>
      </c>
      <c r="AA6" s="15">
        <v>3.0</v>
      </c>
    </row>
    <row r="7">
      <c r="A7" s="12" t="s">
        <v>28</v>
      </c>
      <c r="B7" s="12">
        <f>Z15 +Z12</f>
        <v>5</v>
      </c>
      <c r="C7" s="12" t="s">
        <v>26</v>
      </c>
      <c r="D7" s="14" t="s">
        <v>27</v>
      </c>
      <c r="E7" s="14" t="s">
        <v>27</v>
      </c>
      <c r="F7" s="14" t="s">
        <v>27</v>
      </c>
      <c r="G7" s="12">
        <v>17.0</v>
      </c>
      <c r="H7" s="14" t="s">
        <v>27</v>
      </c>
      <c r="I7" s="12">
        <v>16.0</v>
      </c>
      <c r="J7" s="12">
        <v>18.0</v>
      </c>
      <c r="K7" s="13">
        <v>15.0</v>
      </c>
      <c r="L7" s="14" t="s">
        <v>27</v>
      </c>
      <c r="M7" s="14" t="s">
        <v>27</v>
      </c>
      <c r="N7" s="12">
        <v>20.0</v>
      </c>
      <c r="O7" s="14" t="s">
        <v>27</v>
      </c>
      <c r="P7" s="13">
        <v>12.0</v>
      </c>
      <c r="Q7" s="14" t="s">
        <v>27</v>
      </c>
      <c r="R7" s="12">
        <v>17.0</v>
      </c>
      <c r="S7" s="14" t="s">
        <v>27</v>
      </c>
      <c r="T7" s="16"/>
      <c r="U7" s="16"/>
      <c r="V7" s="16"/>
      <c r="W7" s="16"/>
      <c r="X7" s="16"/>
      <c r="Y7" s="16"/>
      <c r="Z7" s="3">
        <v>9.0</v>
      </c>
      <c r="AA7" s="13">
        <v>4.0</v>
      </c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3">
        <v>8.0</v>
      </c>
      <c r="AA8" s="13">
        <v>5.0</v>
      </c>
    </row>
    <row r="9">
      <c r="A9" s="12" t="s">
        <v>29</v>
      </c>
      <c r="B9" s="12">
        <f> Z4 +Z10 +Z14 +Z2 +Z4 +Z11 +Z13 +Z3 + Z2 + Z2 +Z10 +Z6</f>
        <v>134</v>
      </c>
      <c r="C9" s="12" t="s">
        <v>30</v>
      </c>
      <c r="D9" s="13">
        <v>4.0</v>
      </c>
      <c r="E9" s="13">
        <v>10.0</v>
      </c>
      <c r="F9" s="14" t="s">
        <v>27</v>
      </c>
      <c r="G9" s="13">
        <v>14.0</v>
      </c>
      <c r="H9" s="17">
        <v>2.0</v>
      </c>
      <c r="I9" s="13">
        <v>4.0</v>
      </c>
      <c r="J9" s="13">
        <v>11.0</v>
      </c>
      <c r="K9" s="13">
        <v>13.0</v>
      </c>
      <c r="L9" s="15">
        <v>3.0</v>
      </c>
      <c r="M9" s="18">
        <v>2.0</v>
      </c>
      <c r="N9" s="14" t="s">
        <v>27</v>
      </c>
      <c r="O9" s="18">
        <v>2.0</v>
      </c>
      <c r="P9" s="14" t="s">
        <v>27</v>
      </c>
      <c r="Q9" s="14" t="s">
        <v>27</v>
      </c>
      <c r="R9" s="13">
        <v>10.0</v>
      </c>
      <c r="S9" s="13">
        <v>6.0</v>
      </c>
      <c r="T9" s="16"/>
      <c r="U9" s="16"/>
      <c r="V9" s="16"/>
      <c r="W9" s="16"/>
      <c r="X9" s="16"/>
      <c r="Y9" s="16"/>
      <c r="Z9" s="3">
        <v>7.0</v>
      </c>
      <c r="AA9" s="13">
        <v>6.0</v>
      </c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3">
        <v>6.0</v>
      </c>
      <c r="AA10" s="13">
        <v>7.0</v>
      </c>
    </row>
    <row r="11">
      <c r="A11" s="12" t="s">
        <v>31</v>
      </c>
      <c r="B11" s="12">
        <f>Z13 +Z9 +Z13 +Z11 +Z11 +Z14 +Z10 +Z12 + Z15 + Z11 + Z12 +Z10 +Z9 +Z9</f>
        <v>65</v>
      </c>
      <c r="C11" s="12" t="s">
        <v>30</v>
      </c>
      <c r="D11" s="14" t="s">
        <v>27</v>
      </c>
      <c r="E11" s="13">
        <v>13.0</v>
      </c>
      <c r="F11" s="13">
        <v>9.0</v>
      </c>
      <c r="G11" s="13">
        <v>13.0</v>
      </c>
      <c r="H11" s="13">
        <v>11.0</v>
      </c>
      <c r="I11" s="13">
        <v>11.0</v>
      </c>
      <c r="J11" s="13">
        <v>14.0</v>
      </c>
      <c r="K11" s="13">
        <v>10.0</v>
      </c>
      <c r="L11" s="13">
        <v>12.0</v>
      </c>
      <c r="M11" s="13">
        <v>15.0</v>
      </c>
      <c r="N11" s="13">
        <v>11.0</v>
      </c>
      <c r="O11" s="13">
        <v>12.0</v>
      </c>
      <c r="P11" s="13">
        <v>10.0</v>
      </c>
      <c r="Q11" s="13">
        <v>9.0</v>
      </c>
      <c r="R11" s="14" t="s">
        <v>27</v>
      </c>
      <c r="S11" s="13">
        <v>9.0</v>
      </c>
      <c r="T11" s="16"/>
      <c r="U11" s="16"/>
      <c r="V11" s="16"/>
      <c r="W11" s="16"/>
      <c r="X11" s="16"/>
      <c r="Y11" s="16"/>
      <c r="Z11" s="3">
        <v>5.0</v>
      </c>
      <c r="AA11" s="13">
        <v>8.0</v>
      </c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3">
        <v>4.0</v>
      </c>
      <c r="AA12" s="13">
        <v>9.0</v>
      </c>
    </row>
    <row r="13">
      <c r="A13" s="12" t="s">
        <v>32</v>
      </c>
      <c r="B13" s="12">
        <f>Z14 +Z8 +Z11 +Z9 +Z15 +Z13 + Z11 +Z11 +Z8 +Z15 +Z15</f>
        <v>46</v>
      </c>
      <c r="C13" s="12" t="s">
        <v>33</v>
      </c>
      <c r="D13" s="13">
        <v>14.0</v>
      </c>
      <c r="E13" s="13">
        <v>8.0</v>
      </c>
      <c r="F13" s="13">
        <v>11.0</v>
      </c>
      <c r="G13" s="14" t="s">
        <v>27</v>
      </c>
      <c r="H13" s="13">
        <v>9.0</v>
      </c>
      <c r="I13" s="13">
        <v>15.0</v>
      </c>
      <c r="J13" s="13">
        <v>13.0</v>
      </c>
      <c r="K13" s="12">
        <v>16.0</v>
      </c>
      <c r="L13" s="12">
        <v>19.0</v>
      </c>
      <c r="M13" s="14" t="s">
        <v>27</v>
      </c>
      <c r="N13" s="14" t="s">
        <v>27</v>
      </c>
      <c r="O13" s="13">
        <v>11.0</v>
      </c>
      <c r="P13" s="13">
        <v>11.0</v>
      </c>
      <c r="Q13" s="13">
        <v>8.0</v>
      </c>
      <c r="R13" s="13">
        <v>15.0</v>
      </c>
      <c r="S13" s="13">
        <v>15.0</v>
      </c>
      <c r="T13" s="16"/>
      <c r="U13" s="16"/>
      <c r="V13" s="16"/>
      <c r="W13" s="16"/>
      <c r="X13" s="16"/>
      <c r="Y13" s="16"/>
      <c r="Z13" s="3">
        <v>3.0</v>
      </c>
      <c r="AA13" s="13">
        <v>10.0</v>
      </c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3">
        <v>2.0</v>
      </c>
      <c r="AA14" s="13">
        <v>11.0</v>
      </c>
    </row>
    <row r="15">
      <c r="A15" s="12" t="s">
        <v>34</v>
      </c>
      <c r="B15" s="12">
        <f> Z6 +Z5 +Z8 +Z7 +Z4 +Z11 + Z6 +Z6 +Z7 +Z7</f>
        <v>94</v>
      </c>
      <c r="C15" s="12" t="s">
        <v>33</v>
      </c>
      <c r="D15" s="13">
        <v>6.0</v>
      </c>
      <c r="E15" s="14" t="s">
        <v>27</v>
      </c>
      <c r="F15" s="14" t="s">
        <v>27</v>
      </c>
      <c r="G15" s="12">
        <v>18.0</v>
      </c>
      <c r="H15" s="13">
        <v>5.0</v>
      </c>
      <c r="I15" s="13">
        <v>8.0</v>
      </c>
      <c r="J15" s="13">
        <v>7.0</v>
      </c>
      <c r="K15" s="13">
        <v>4.0</v>
      </c>
      <c r="L15" s="13">
        <v>11.0</v>
      </c>
      <c r="M15" s="14" t="s">
        <v>27</v>
      </c>
      <c r="N15" s="12">
        <v>17.0</v>
      </c>
      <c r="O15" s="13">
        <v>6.0</v>
      </c>
      <c r="P15" s="13">
        <v>6.0</v>
      </c>
      <c r="Q15" s="13">
        <v>7.0</v>
      </c>
      <c r="R15" s="12">
        <v>16.0</v>
      </c>
      <c r="S15" s="13">
        <v>7.0</v>
      </c>
      <c r="T15" s="16"/>
      <c r="U15" s="16"/>
      <c r="V15" s="16"/>
      <c r="W15" s="16"/>
      <c r="X15" s="16"/>
      <c r="Y15" s="16"/>
      <c r="Z15" s="3">
        <v>1.0</v>
      </c>
      <c r="AA15" s="13">
        <v>12.0</v>
      </c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3"/>
      <c r="AA16" s="13">
        <v>13.0</v>
      </c>
    </row>
    <row r="17">
      <c r="A17" s="12" t="s">
        <v>35</v>
      </c>
      <c r="B17" s="12">
        <f>Z12 +Z4 +Z3 +Z6 +Z12 +Z8 + Z7 + Z5 +Z7 +Z9 +Z4</f>
        <v>104</v>
      </c>
      <c r="C17" s="12" t="s">
        <v>36</v>
      </c>
      <c r="D17" s="13">
        <v>12.0</v>
      </c>
      <c r="E17" s="14" t="s">
        <v>27</v>
      </c>
      <c r="F17" s="13">
        <v>4.0</v>
      </c>
      <c r="G17" s="14" t="s">
        <v>27</v>
      </c>
      <c r="H17" s="15">
        <v>3.0</v>
      </c>
      <c r="I17" s="13">
        <v>6.0</v>
      </c>
      <c r="J17" s="13">
        <v>12.0</v>
      </c>
      <c r="K17" s="14" t="s">
        <v>27</v>
      </c>
      <c r="L17" s="13">
        <v>8.0</v>
      </c>
      <c r="M17" s="12">
        <v>17.0</v>
      </c>
      <c r="N17" s="13">
        <v>7.0</v>
      </c>
      <c r="O17" s="13">
        <v>5.0</v>
      </c>
      <c r="P17" s="13">
        <v>7.0</v>
      </c>
      <c r="Q17" s="14" t="s">
        <v>27</v>
      </c>
      <c r="R17" s="13">
        <v>9.0</v>
      </c>
      <c r="S17" s="13">
        <v>4.0</v>
      </c>
      <c r="T17" s="16"/>
      <c r="U17" s="16"/>
      <c r="V17" s="16"/>
      <c r="W17" s="16"/>
      <c r="X17" s="16"/>
      <c r="Y17" s="16"/>
      <c r="Z17" s="3"/>
      <c r="AA17" s="13">
        <v>14.0</v>
      </c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3"/>
      <c r="AA18" s="13">
        <v>15.0</v>
      </c>
    </row>
    <row r="19">
      <c r="A19" s="12" t="s">
        <v>37</v>
      </c>
      <c r="B19" s="12">
        <f> Z8 + Z2 +Z5 +Z4 +Z4 +Z4 +Z2 +Z7 + Z12 + Z13 +Z12 +Z11</f>
        <v>123</v>
      </c>
      <c r="C19" s="12" t="s">
        <v>36</v>
      </c>
      <c r="D19" s="13">
        <v>8.0</v>
      </c>
      <c r="E19" s="17">
        <v>2.0</v>
      </c>
      <c r="F19" s="13">
        <v>5.0</v>
      </c>
      <c r="G19" s="13">
        <v>4.0</v>
      </c>
      <c r="H19" s="13">
        <v>4.0</v>
      </c>
      <c r="I19" s="14" t="s">
        <v>27</v>
      </c>
      <c r="J19" s="13">
        <v>4.0</v>
      </c>
      <c r="K19" s="18">
        <v>2.0</v>
      </c>
      <c r="L19" s="13">
        <v>7.0</v>
      </c>
      <c r="M19" s="13">
        <v>12.0</v>
      </c>
      <c r="N19" s="13">
        <v>13.0</v>
      </c>
      <c r="O19" s="14" t="s">
        <v>27</v>
      </c>
      <c r="P19" s="12">
        <v>21.0</v>
      </c>
      <c r="Q19" s="13">
        <v>12.0</v>
      </c>
      <c r="R19" s="13">
        <v>11.0</v>
      </c>
      <c r="S19" s="12">
        <v>16.0</v>
      </c>
      <c r="T19" s="16"/>
      <c r="U19" s="16"/>
      <c r="V19" s="16"/>
      <c r="W19" s="16"/>
      <c r="X19" s="16"/>
      <c r="Y19" s="16"/>
      <c r="AA19" s="14" t="s">
        <v>27</v>
      </c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12" t="s">
        <v>38</v>
      </c>
      <c r="B21" s="12">
        <f>Z2 +Z2 +Z1 +Z1 +Z5+Z2 + Z14 + Z15 +Z4 +Z8 +Z5</f>
        <v>156</v>
      </c>
      <c r="C21" s="12" t="s">
        <v>39</v>
      </c>
      <c r="D21" s="14" t="s">
        <v>27</v>
      </c>
      <c r="E21" s="14" t="s">
        <v>27</v>
      </c>
      <c r="F21" s="17">
        <v>2.0</v>
      </c>
      <c r="G21" s="17">
        <v>2.0</v>
      </c>
      <c r="H21" s="14" t="s">
        <v>27</v>
      </c>
      <c r="I21" s="11">
        <v>1.0</v>
      </c>
      <c r="J21" s="11">
        <v>1.0</v>
      </c>
      <c r="K21" s="13">
        <v>5.0</v>
      </c>
      <c r="L21" s="18">
        <v>2.0</v>
      </c>
      <c r="M21" s="13">
        <v>14.0</v>
      </c>
      <c r="N21" s="13">
        <v>15.0</v>
      </c>
      <c r="O21" s="14" t="s">
        <v>27</v>
      </c>
      <c r="P21" s="13">
        <v>4.0</v>
      </c>
      <c r="Q21" s="14" t="s">
        <v>27</v>
      </c>
      <c r="R21" s="13">
        <v>8.0</v>
      </c>
      <c r="S21" s="13">
        <v>5.0</v>
      </c>
      <c r="T21" s="16"/>
      <c r="U21" s="16"/>
      <c r="V21" s="16"/>
      <c r="W21" s="16"/>
      <c r="X21" s="16"/>
      <c r="Y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9"/>
    </row>
    <row r="23">
      <c r="A23" s="12" t="s">
        <v>40</v>
      </c>
      <c r="B23" s="12">
        <f>Z9 +Z1 +Z10 +Z1 + Z4 + Z4 +Z8 +Z5 +Z2 +Z10</f>
        <v>134</v>
      </c>
      <c r="C23" s="12" t="s">
        <v>39</v>
      </c>
      <c r="D23" s="14" t="s">
        <v>27</v>
      </c>
      <c r="E23" s="13">
        <v>9.0</v>
      </c>
      <c r="F23" s="11">
        <v>1.0</v>
      </c>
      <c r="G23" s="13">
        <v>10.0</v>
      </c>
      <c r="H23" s="14" t="s">
        <v>27</v>
      </c>
      <c r="I23" s="14" t="s">
        <v>27</v>
      </c>
      <c r="J23" s="14" t="s">
        <v>27</v>
      </c>
      <c r="K23" s="11">
        <v>1.0</v>
      </c>
      <c r="L23" s="14" t="s">
        <v>27</v>
      </c>
      <c r="M23" s="13">
        <v>4.0</v>
      </c>
      <c r="N23" s="13">
        <v>4.0</v>
      </c>
      <c r="O23" s="14" t="s">
        <v>27</v>
      </c>
      <c r="P23" s="13">
        <v>8.0</v>
      </c>
      <c r="Q23" s="13">
        <v>5.0</v>
      </c>
      <c r="R23" s="18">
        <v>2.0</v>
      </c>
      <c r="S23" s="13">
        <v>10.0</v>
      </c>
      <c r="T23" s="16"/>
      <c r="U23" s="16"/>
      <c r="V23" s="16"/>
      <c r="W23" s="16"/>
      <c r="X23" s="16"/>
      <c r="Y23" s="16"/>
      <c r="Z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9"/>
    </row>
    <row r="25">
      <c r="A25" s="12" t="s">
        <v>41</v>
      </c>
      <c r="B25" s="12">
        <f> Z9 + Z1 +Z8 +Z3 +Z3 +Z8 +Z5 + Z11 + Z1 + Z13 +Z7</f>
        <v>133</v>
      </c>
      <c r="C25" s="12" t="s">
        <v>42</v>
      </c>
      <c r="D25" s="13">
        <v>9.0</v>
      </c>
      <c r="E25" s="11">
        <v>1.0</v>
      </c>
      <c r="F25" s="13">
        <v>8.0</v>
      </c>
      <c r="G25" s="15">
        <v>3.0</v>
      </c>
      <c r="H25" s="14" t="s">
        <v>27</v>
      </c>
      <c r="I25" s="20">
        <v>3.0</v>
      </c>
      <c r="J25" s="12">
        <v>16.0</v>
      </c>
      <c r="K25" s="13">
        <v>8.0</v>
      </c>
      <c r="L25" s="13">
        <v>5.0</v>
      </c>
      <c r="M25" s="13">
        <v>11.0</v>
      </c>
      <c r="N25" s="11">
        <v>1.0</v>
      </c>
      <c r="O25" s="13">
        <v>13.0</v>
      </c>
      <c r="P25" s="12">
        <v>22.0</v>
      </c>
      <c r="Q25" s="14" t="s">
        <v>27</v>
      </c>
      <c r="R25" s="13">
        <v>7.0</v>
      </c>
      <c r="S25" s="14" t="s">
        <v>27</v>
      </c>
      <c r="T25" s="16"/>
      <c r="U25" s="16"/>
      <c r="V25" s="16"/>
      <c r="W25" s="16"/>
      <c r="X25" s="16"/>
      <c r="Y25" s="16"/>
      <c r="Z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9"/>
    </row>
    <row r="27">
      <c r="A27" s="12" t="s">
        <v>43</v>
      </c>
      <c r="B27" s="12">
        <f>Z11 +Z6 +Z6 +Z5 +Z9 +Z2 +Z3 + Z10 + Z10 +Z13 +Z6 +Z8</f>
        <v>112</v>
      </c>
      <c r="C27" s="12" t="s">
        <v>42</v>
      </c>
      <c r="D27" s="13">
        <v>11.0</v>
      </c>
      <c r="E27" s="13">
        <v>6.0</v>
      </c>
      <c r="F27" s="13">
        <v>6.0</v>
      </c>
      <c r="G27" s="13">
        <v>5.0</v>
      </c>
      <c r="H27" s="14" t="s">
        <v>27</v>
      </c>
      <c r="I27" s="13">
        <v>9.0</v>
      </c>
      <c r="J27" s="18">
        <v>2.0</v>
      </c>
      <c r="K27" s="15">
        <v>3.0</v>
      </c>
      <c r="L27" s="14" t="s">
        <v>27</v>
      </c>
      <c r="M27" s="13">
        <v>10.0</v>
      </c>
      <c r="N27" s="13">
        <v>10.0</v>
      </c>
      <c r="O27" s="14" t="s">
        <v>27</v>
      </c>
      <c r="P27" s="14" t="s">
        <v>27</v>
      </c>
      <c r="Q27" s="13">
        <v>13.0</v>
      </c>
      <c r="R27" s="13">
        <v>6.0</v>
      </c>
      <c r="S27" s="13">
        <v>8.0</v>
      </c>
      <c r="T27" s="16"/>
      <c r="U27" s="16"/>
      <c r="V27" s="16"/>
      <c r="W27" s="16"/>
      <c r="X27" s="16"/>
      <c r="Y27" s="16"/>
      <c r="Z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9"/>
    </row>
    <row r="29">
      <c r="A29" s="12" t="s">
        <v>44</v>
      </c>
      <c r="B29" s="12">
        <f>Z15 +Z13 +Z14</f>
        <v>6</v>
      </c>
      <c r="C29" s="12" t="s">
        <v>45</v>
      </c>
      <c r="D29" s="14" t="s">
        <v>27</v>
      </c>
      <c r="E29" s="14" t="s">
        <v>27</v>
      </c>
      <c r="F29" s="12">
        <v>21.0</v>
      </c>
      <c r="G29" s="12">
        <v>16.0</v>
      </c>
      <c r="H29" s="14" t="s">
        <v>27</v>
      </c>
      <c r="I29" s="14" t="s">
        <v>27</v>
      </c>
      <c r="J29" s="13">
        <v>15.0</v>
      </c>
      <c r="K29" s="12">
        <v>17.0</v>
      </c>
      <c r="L29" s="12">
        <v>20.0</v>
      </c>
      <c r="M29" s="12">
        <v>23.0</v>
      </c>
      <c r="N29" s="14" t="s">
        <v>27</v>
      </c>
      <c r="O29" s="14" t="s">
        <v>27</v>
      </c>
      <c r="P29" s="13">
        <v>13.0</v>
      </c>
      <c r="Q29" s="14" t="s">
        <v>27</v>
      </c>
      <c r="R29" s="14" t="s">
        <v>27</v>
      </c>
      <c r="S29" s="13">
        <v>14.0</v>
      </c>
      <c r="T29" s="16"/>
      <c r="U29" s="16"/>
      <c r="V29" s="16"/>
      <c r="W29" s="16"/>
      <c r="X29" s="16"/>
      <c r="Y29" s="16"/>
      <c r="Z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9"/>
    </row>
    <row r="31">
      <c r="A31" s="12" t="s">
        <v>46</v>
      </c>
      <c r="B31" s="12">
        <f>Z13</f>
        <v>3</v>
      </c>
      <c r="C31" s="12" t="s">
        <v>45</v>
      </c>
      <c r="D31" s="12">
        <v>19.0</v>
      </c>
      <c r="E31" s="12">
        <v>17.0</v>
      </c>
      <c r="F31" s="12">
        <v>20.0</v>
      </c>
      <c r="G31" s="14" t="s">
        <v>27</v>
      </c>
      <c r="H31" s="14" t="s">
        <v>27</v>
      </c>
      <c r="I31" s="12">
        <v>17.0</v>
      </c>
      <c r="J31" s="12">
        <v>17.0</v>
      </c>
      <c r="K31" s="12">
        <v>18.0</v>
      </c>
      <c r="L31" s="13">
        <v>13.0</v>
      </c>
      <c r="M31" s="12">
        <v>18.0</v>
      </c>
      <c r="N31" s="12">
        <v>19.0</v>
      </c>
      <c r="O31" s="14" t="s">
        <v>27</v>
      </c>
      <c r="P31" s="14" t="s">
        <v>27</v>
      </c>
      <c r="Q31" s="14" t="s">
        <v>27</v>
      </c>
      <c r="R31" s="12">
        <v>20.0</v>
      </c>
      <c r="S31" s="14" t="s">
        <v>27</v>
      </c>
      <c r="T31" s="16"/>
      <c r="U31" s="16"/>
      <c r="V31" s="16"/>
      <c r="W31" s="16"/>
      <c r="X31" s="16"/>
      <c r="Y31" s="16"/>
      <c r="Z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9"/>
    </row>
    <row r="33">
      <c r="A33" s="12" t="s">
        <v>47</v>
      </c>
      <c r="B33" s="12">
        <f> Z1 +Z4 +Z7 +Z12 +Z1 +Z2 +Z11 +Z1 +Z1 + Z5 + Z1 +Z1 +Z3 +Z1</f>
        <v>253</v>
      </c>
      <c r="C33" s="12" t="s">
        <v>48</v>
      </c>
      <c r="D33" s="11">
        <v>1.0</v>
      </c>
      <c r="E33" s="13">
        <v>4.0</v>
      </c>
      <c r="F33" s="13">
        <v>7.0</v>
      </c>
      <c r="G33" s="13">
        <v>12.0</v>
      </c>
      <c r="H33" s="11">
        <v>1.0</v>
      </c>
      <c r="I33" s="18">
        <v>2.0</v>
      </c>
      <c r="J33" s="14" t="s">
        <v>27</v>
      </c>
      <c r="K33" s="13">
        <v>11.0</v>
      </c>
      <c r="L33" s="11">
        <v>1.0</v>
      </c>
      <c r="M33" s="11">
        <v>1.0</v>
      </c>
      <c r="N33" s="13">
        <v>5.0</v>
      </c>
      <c r="O33" s="11">
        <v>1.0</v>
      </c>
      <c r="P33" s="11">
        <v>1.0</v>
      </c>
      <c r="Q33" s="15">
        <v>3.0</v>
      </c>
      <c r="R33" s="14" t="s">
        <v>27</v>
      </c>
      <c r="S33" s="11">
        <v>1.0</v>
      </c>
      <c r="T33" s="16"/>
      <c r="U33" s="16"/>
      <c r="V33" s="16"/>
      <c r="W33" s="16"/>
      <c r="X33" s="16"/>
      <c r="Y33" s="16"/>
      <c r="Z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9"/>
    </row>
    <row r="35">
      <c r="A35" s="12" t="s">
        <v>49</v>
      </c>
      <c r="B35" s="12">
        <f> Z2 +Z9 +Z5 +Z7 +Z4 + Z9 + Z12 + Z8 +Z5 +Z2</f>
        <v>110</v>
      </c>
      <c r="C35" s="12" t="s">
        <v>48</v>
      </c>
      <c r="D35" s="17">
        <v>2.0</v>
      </c>
      <c r="E35" s="14" t="s">
        <v>27</v>
      </c>
      <c r="F35" s="14" t="s">
        <v>27</v>
      </c>
      <c r="G35" s="13">
        <v>9.0</v>
      </c>
      <c r="H35" s="14" t="s">
        <v>27</v>
      </c>
      <c r="I35" s="12">
        <v>22.0</v>
      </c>
      <c r="J35" s="13">
        <v>5.0</v>
      </c>
      <c r="K35" s="13">
        <v>7.0</v>
      </c>
      <c r="L35" s="13">
        <v>4.0</v>
      </c>
      <c r="M35" s="13">
        <v>9.0</v>
      </c>
      <c r="N35" s="13">
        <v>12.0</v>
      </c>
      <c r="O35" s="13">
        <v>8.0</v>
      </c>
      <c r="P35" s="13">
        <v>5.0</v>
      </c>
      <c r="Q35" s="18">
        <v>2.0</v>
      </c>
      <c r="R35" s="12">
        <v>19.0</v>
      </c>
      <c r="S35" s="14" t="s">
        <v>27</v>
      </c>
      <c r="T35" s="16"/>
      <c r="U35" s="16"/>
      <c r="V35" s="16"/>
      <c r="W35" s="16"/>
      <c r="X35" s="16"/>
      <c r="Y35" s="16"/>
      <c r="Z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9"/>
    </row>
    <row r="37">
      <c r="A37" s="12" t="s">
        <v>50</v>
      </c>
      <c r="B37" s="12">
        <f>Z14 +Z15 +Z12 +Z13 +Z14 + Z8</f>
        <v>20</v>
      </c>
      <c r="C37" s="12" t="s">
        <v>51</v>
      </c>
      <c r="D37" s="14" t="s">
        <v>27</v>
      </c>
      <c r="E37" s="13">
        <v>14.0</v>
      </c>
      <c r="F37" s="12">
        <v>22.0</v>
      </c>
      <c r="G37" s="13">
        <v>15.0</v>
      </c>
      <c r="H37" s="13">
        <v>12.0</v>
      </c>
      <c r="I37" s="13">
        <v>13.0</v>
      </c>
      <c r="J37" s="14" t="s">
        <v>27</v>
      </c>
      <c r="K37" s="13">
        <v>14.0</v>
      </c>
      <c r="L37" s="14" t="s">
        <v>27</v>
      </c>
      <c r="M37" s="13">
        <v>8.0</v>
      </c>
      <c r="N37" s="14" t="s">
        <v>27</v>
      </c>
      <c r="O37" s="12">
        <v>19.0</v>
      </c>
      <c r="P37" s="12">
        <v>19.0</v>
      </c>
      <c r="Q37" s="14" t="s">
        <v>27</v>
      </c>
      <c r="R37" s="14" t="s">
        <v>27</v>
      </c>
      <c r="S37" s="12">
        <v>17.0</v>
      </c>
      <c r="T37" s="16"/>
      <c r="U37" s="16"/>
      <c r="V37" s="16"/>
      <c r="W37" s="16"/>
      <c r="X37" s="16"/>
      <c r="Y37" s="16"/>
      <c r="Z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12" t="s">
        <v>52</v>
      </c>
      <c r="B39" s="12">
        <f> Z10 +Z5 +Z8 +Z10 + Z5 + Z4 + Z10 +Z1 +Z1</f>
        <v>111</v>
      </c>
      <c r="C39" s="12" t="s">
        <v>51</v>
      </c>
      <c r="D39" s="13">
        <v>10.0</v>
      </c>
      <c r="E39" s="13">
        <v>5.0</v>
      </c>
      <c r="F39" s="12">
        <v>19.0</v>
      </c>
      <c r="G39" s="13">
        <v>8.0</v>
      </c>
      <c r="H39" s="14" t="s">
        <v>27</v>
      </c>
      <c r="I39" s="13">
        <v>10.0</v>
      </c>
      <c r="J39" s="14" t="s">
        <v>27</v>
      </c>
      <c r="K39" s="12">
        <v>22.0</v>
      </c>
      <c r="L39" s="12">
        <v>17.0</v>
      </c>
      <c r="M39" s="13">
        <v>5.0</v>
      </c>
      <c r="N39" s="13">
        <v>4.0</v>
      </c>
      <c r="O39" s="13">
        <v>10.0</v>
      </c>
      <c r="P39" s="12">
        <v>18.0</v>
      </c>
      <c r="Q39" s="11">
        <v>1.0</v>
      </c>
      <c r="R39" s="11">
        <v>1.0</v>
      </c>
      <c r="S39" s="14" t="s">
        <v>27</v>
      </c>
      <c r="T39" s="16"/>
      <c r="U39" s="16"/>
      <c r="V39" s="16"/>
      <c r="W39" s="16"/>
      <c r="X39" s="16"/>
      <c r="Y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12" t="s">
        <v>53</v>
      </c>
      <c r="B41" s="12">
        <f>Z15 +Z15 +Z13 +Z13</f>
        <v>8</v>
      </c>
      <c r="C41" s="12" t="s">
        <v>54</v>
      </c>
      <c r="D41" s="13">
        <v>15.0</v>
      </c>
      <c r="E41" s="13">
        <v>15.0</v>
      </c>
      <c r="F41" s="13">
        <v>13.0</v>
      </c>
      <c r="G41" s="12">
        <v>23.0</v>
      </c>
      <c r="H41" s="13">
        <v>13.0</v>
      </c>
      <c r="I41" s="14" t="s">
        <v>27</v>
      </c>
      <c r="J41" s="12">
        <v>22.0</v>
      </c>
      <c r="K41" s="12">
        <v>23.0</v>
      </c>
      <c r="L41" s="14" t="s">
        <v>27</v>
      </c>
      <c r="M41" s="14" t="s">
        <v>27</v>
      </c>
      <c r="N41" s="12">
        <v>18.0</v>
      </c>
      <c r="O41" s="12">
        <v>18.0</v>
      </c>
      <c r="P41" s="14" t="s">
        <v>27</v>
      </c>
      <c r="Q41" s="14" t="s">
        <v>27</v>
      </c>
      <c r="R41" s="12">
        <v>18.0</v>
      </c>
      <c r="S41" s="12">
        <v>18.0</v>
      </c>
      <c r="T41" s="16"/>
      <c r="U41" s="16"/>
      <c r="V41" s="16"/>
      <c r="W41" s="16"/>
      <c r="X41" s="16"/>
      <c r="Y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12" t="s">
        <v>55</v>
      </c>
      <c r="B43" s="12">
        <v>0.0</v>
      </c>
      <c r="C43" s="12" t="s">
        <v>54</v>
      </c>
      <c r="D43" s="14" t="s">
        <v>27</v>
      </c>
      <c r="E43" s="12">
        <v>16.0</v>
      </c>
      <c r="F43" s="14" t="s">
        <v>27</v>
      </c>
      <c r="G43" s="14" t="s">
        <v>27</v>
      </c>
      <c r="H43" s="14" t="s">
        <v>27</v>
      </c>
      <c r="I43" s="14" t="s">
        <v>27</v>
      </c>
      <c r="J43" s="14" t="s">
        <v>27</v>
      </c>
      <c r="K43" s="14" t="s">
        <v>27</v>
      </c>
      <c r="L43" s="14" t="s">
        <v>27</v>
      </c>
      <c r="M43" s="14" t="s">
        <v>27</v>
      </c>
      <c r="N43" s="12">
        <v>16.0</v>
      </c>
      <c r="O43" s="14" t="s">
        <v>27</v>
      </c>
      <c r="P43" s="14" t="s">
        <v>27</v>
      </c>
      <c r="Q43" s="14" t="s">
        <v>27</v>
      </c>
      <c r="R43" s="14" t="s">
        <v>27</v>
      </c>
      <c r="S43" s="14" t="s">
        <v>27</v>
      </c>
      <c r="T43" s="16"/>
      <c r="U43" s="16"/>
      <c r="V43" s="16"/>
      <c r="W43" s="16"/>
      <c r="X43" s="16"/>
      <c r="Y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12" t="s">
        <v>56</v>
      </c>
      <c r="B45" s="12">
        <f>Z14 +Z14</f>
        <v>4</v>
      </c>
      <c r="C45" s="12" t="s">
        <v>57</v>
      </c>
      <c r="D45" s="12">
        <v>16.0</v>
      </c>
      <c r="E45" s="14" t="s">
        <v>27</v>
      </c>
      <c r="F45" s="14" t="s">
        <v>27</v>
      </c>
      <c r="G45" s="12">
        <v>22.0</v>
      </c>
      <c r="H45" s="12">
        <v>17.0</v>
      </c>
      <c r="I45" s="12">
        <v>20.0</v>
      </c>
      <c r="J45" s="14" t="s">
        <v>27</v>
      </c>
      <c r="K45" s="12">
        <v>20.0</v>
      </c>
      <c r="L45" s="13">
        <v>14.0</v>
      </c>
      <c r="M45" s="12">
        <v>22.0</v>
      </c>
      <c r="N45" s="14" t="s">
        <v>27</v>
      </c>
      <c r="O45" s="14" t="s">
        <v>27</v>
      </c>
      <c r="P45" s="14" t="s">
        <v>27</v>
      </c>
      <c r="Q45" s="13">
        <v>14.0</v>
      </c>
      <c r="R45" s="12">
        <v>21.0</v>
      </c>
      <c r="S45" s="14" t="s">
        <v>27</v>
      </c>
      <c r="T45" s="16"/>
      <c r="U45" s="16"/>
      <c r="V45" s="16"/>
      <c r="W45" s="16"/>
      <c r="X45" s="16"/>
      <c r="Y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12" t="s">
        <v>58</v>
      </c>
      <c r="B47" s="12">
        <f>Z15 +Z15</f>
        <v>2</v>
      </c>
      <c r="C47" s="12" t="s">
        <v>57</v>
      </c>
      <c r="D47" s="14" t="s">
        <v>27</v>
      </c>
      <c r="E47" s="12">
        <v>19.0</v>
      </c>
      <c r="F47" s="13">
        <v>15.0</v>
      </c>
      <c r="G47" s="14" t="s">
        <v>27</v>
      </c>
      <c r="H47" s="13">
        <v>15.0</v>
      </c>
      <c r="I47" s="14" t="s">
        <v>27</v>
      </c>
      <c r="J47" s="12">
        <v>21.0</v>
      </c>
      <c r="K47" s="14" t="s">
        <v>27</v>
      </c>
      <c r="L47" s="12">
        <v>18.0</v>
      </c>
      <c r="M47" s="14" t="s">
        <v>27</v>
      </c>
      <c r="N47" s="14" t="s">
        <v>27</v>
      </c>
      <c r="O47" s="12">
        <v>16.0</v>
      </c>
      <c r="P47" s="14" t="s">
        <v>27</v>
      </c>
      <c r="Q47" s="14" t="s">
        <v>27</v>
      </c>
      <c r="R47" s="12">
        <v>22.0</v>
      </c>
      <c r="S47" s="12">
        <v>20.0</v>
      </c>
      <c r="T47" s="16"/>
      <c r="U47" s="16"/>
      <c r="V47" s="16"/>
      <c r="W47" s="16"/>
      <c r="X47" s="16"/>
      <c r="Y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12" t="s">
        <v>59</v>
      </c>
      <c r="B49" s="12">
        <f> Z7 +Z3 +Z12 +Z14 +Z7 +Z6 +Z12 +Z9 + Z6 + Z9 + Z14 +Z4 +Z11</f>
        <v>98</v>
      </c>
      <c r="C49" s="12" t="s">
        <v>60</v>
      </c>
      <c r="D49" s="13">
        <v>7.0</v>
      </c>
      <c r="E49" s="15">
        <v>3.0</v>
      </c>
      <c r="F49" s="13">
        <v>12.0</v>
      </c>
      <c r="G49" s="14" t="s">
        <v>27</v>
      </c>
      <c r="H49" s="13">
        <v>14.0</v>
      </c>
      <c r="I49" s="13">
        <v>7.0</v>
      </c>
      <c r="J49" s="13">
        <v>6.0</v>
      </c>
      <c r="K49" s="13">
        <v>12.0</v>
      </c>
      <c r="L49" s="13">
        <v>9.0</v>
      </c>
      <c r="M49" s="13">
        <v>6.0</v>
      </c>
      <c r="N49" s="13">
        <v>9.0</v>
      </c>
      <c r="O49" s="13">
        <v>14.0</v>
      </c>
      <c r="P49" s="14" t="s">
        <v>27</v>
      </c>
      <c r="Q49" s="14" t="s">
        <v>27</v>
      </c>
      <c r="R49" s="13">
        <v>4.0</v>
      </c>
      <c r="S49" s="13">
        <v>11.0</v>
      </c>
      <c r="T49" s="16"/>
      <c r="U49" s="16"/>
      <c r="V49" s="16"/>
      <c r="W49" s="16"/>
      <c r="X49" s="16"/>
      <c r="Y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>
      <c r="A51" s="12" t="s">
        <v>61</v>
      </c>
      <c r="B51" s="12">
        <f>Z3 +Z1 +Z3 + Z3 + Z2 +Z3 +Z6 +Z5 +Z12</f>
        <v>134</v>
      </c>
      <c r="C51" s="12" t="s">
        <v>60</v>
      </c>
      <c r="D51" s="14" t="s">
        <v>27</v>
      </c>
      <c r="E51" s="14" t="s">
        <v>27</v>
      </c>
      <c r="F51" s="15">
        <v>3.0</v>
      </c>
      <c r="G51" s="11">
        <v>1.0</v>
      </c>
      <c r="H51" s="12">
        <v>18.0</v>
      </c>
      <c r="I51" s="14" t="s">
        <v>27</v>
      </c>
      <c r="J51" s="20">
        <v>3.0</v>
      </c>
      <c r="K51" s="12">
        <v>21.0</v>
      </c>
      <c r="L51" s="14" t="s">
        <v>27</v>
      </c>
      <c r="M51" s="15">
        <v>3.0</v>
      </c>
      <c r="N51" s="18">
        <v>2.0</v>
      </c>
      <c r="O51" s="14" t="s">
        <v>27</v>
      </c>
      <c r="P51" s="15">
        <v>3.0</v>
      </c>
      <c r="Q51" s="13">
        <v>6.0</v>
      </c>
      <c r="R51" s="13">
        <v>5.0</v>
      </c>
      <c r="S51" s="13">
        <v>12.0</v>
      </c>
      <c r="T51" s="16"/>
      <c r="U51" s="16"/>
      <c r="V51" s="16"/>
      <c r="W51" s="16"/>
      <c r="X51" s="16"/>
      <c r="Y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>
      <c r="A53" s="12" t="s">
        <v>62</v>
      </c>
      <c r="B53" s="12">
        <v>0.0</v>
      </c>
      <c r="C53" s="12" t="s">
        <v>63</v>
      </c>
      <c r="D53" s="12">
        <v>18.0</v>
      </c>
      <c r="E53" s="14" t="s">
        <v>27</v>
      </c>
      <c r="F53" s="12">
        <v>17.0</v>
      </c>
      <c r="G53" s="14" t="s">
        <v>27</v>
      </c>
      <c r="H53" s="14" t="s">
        <v>27</v>
      </c>
      <c r="I53" s="12">
        <v>19.0</v>
      </c>
      <c r="J53" s="14" t="s">
        <v>27</v>
      </c>
      <c r="K53" s="14" t="s">
        <v>27</v>
      </c>
      <c r="L53" s="14" t="s">
        <v>27</v>
      </c>
      <c r="M53" s="12">
        <v>20.0</v>
      </c>
      <c r="N53" s="14" t="s">
        <v>27</v>
      </c>
      <c r="O53" s="12">
        <v>20.0</v>
      </c>
      <c r="P53" s="12">
        <v>16.0</v>
      </c>
      <c r="Q53" s="14" t="s">
        <v>27</v>
      </c>
      <c r="R53" s="14" t="s">
        <v>27</v>
      </c>
      <c r="S53" s="12">
        <v>19.0</v>
      </c>
      <c r="T53" s="16"/>
      <c r="U53" s="16"/>
      <c r="V53" s="16"/>
      <c r="W53" s="16"/>
      <c r="X53" s="16"/>
      <c r="Y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>
      <c r="A55" s="12" t="s">
        <v>64</v>
      </c>
      <c r="B55" s="12">
        <f>Z14 +Z14 +Z13</f>
        <v>7</v>
      </c>
      <c r="C55" s="12" t="s">
        <v>63</v>
      </c>
      <c r="D55" s="12">
        <v>17.0</v>
      </c>
      <c r="E55" s="12">
        <v>18.0</v>
      </c>
      <c r="F55" s="13">
        <v>14.0</v>
      </c>
      <c r="G55" s="12">
        <v>20.0</v>
      </c>
      <c r="H55" s="12">
        <v>16.0</v>
      </c>
      <c r="I55" s="14" t="s">
        <v>27</v>
      </c>
      <c r="J55" s="12">
        <v>19.0</v>
      </c>
      <c r="K55" s="14" t="s">
        <v>27</v>
      </c>
      <c r="L55" s="12">
        <v>16.0</v>
      </c>
      <c r="M55" s="12">
        <v>21.0</v>
      </c>
      <c r="N55" s="12">
        <v>22.0</v>
      </c>
      <c r="O55" s="14" t="s">
        <v>27</v>
      </c>
      <c r="P55" s="13">
        <v>14.0</v>
      </c>
      <c r="Q55" s="14" t="s">
        <v>27</v>
      </c>
      <c r="R55" s="13">
        <v>13.0</v>
      </c>
      <c r="S55" s="14" t="s">
        <v>27</v>
      </c>
      <c r="T55" s="16"/>
      <c r="U55" s="16"/>
      <c r="V55" s="16"/>
      <c r="W55" s="16"/>
      <c r="X55" s="16"/>
      <c r="Y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>
      <c r="A57" s="12" t="s">
        <v>65</v>
      </c>
      <c r="B57" s="12">
        <f> Z3 +Z7 +Z6 +Z7 +Z8 +Z6 + Z7 + Z3 + Z3 +Z9 +Z2</f>
        <v>130</v>
      </c>
      <c r="C57" s="12" t="s">
        <v>66</v>
      </c>
      <c r="D57" s="15">
        <v>3.0</v>
      </c>
      <c r="E57" s="13">
        <v>7.0</v>
      </c>
      <c r="F57" s="12">
        <v>16.0</v>
      </c>
      <c r="G57" s="13">
        <v>6.0</v>
      </c>
      <c r="H57" s="13">
        <v>7.0</v>
      </c>
      <c r="I57" s="12">
        <v>18.0</v>
      </c>
      <c r="J57" s="13">
        <v>8.0</v>
      </c>
      <c r="K57" s="12">
        <v>24.0</v>
      </c>
      <c r="L57" s="13">
        <v>6.0</v>
      </c>
      <c r="M57" s="13">
        <v>7.0</v>
      </c>
      <c r="N57" s="15">
        <v>3.0</v>
      </c>
      <c r="O57" s="15">
        <v>3.0</v>
      </c>
      <c r="P57" s="13">
        <v>9.0</v>
      </c>
      <c r="Q57" s="14" t="s">
        <v>27</v>
      </c>
      <c r="R57" s="12">
        <v>23.0</v>
      </c>
      <c r="S57" s="18">
        <v>2.0</v>
      </c>
      <c r="T57" s="16"/>
      <c r="U57" s="16"/>
      <c r="V57" s="16"/>
      <c r="W57" s="16"/>
      <c r="X57" s="16"/>
      <c r="Y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>
      <c r="A59" s="12" t="s">
        <v>67</v>
      </c>
      <c r="B59" s="12">
        <f> Z5 +Z11 +Z6 +Z14 +Z10 +Z10 + Z13 + Z6 + Z9 +Z2 +Z10 +Z12 +Z3</f>
        <v>106</v>
      </c>
      <c r="C59" s="12" t="s">
        <v>66</v>
      </c>
      <c r="D59" s="13">
        <v>5.0</v>
      </c>
      <c r="E59" s="14" t="s">
        <v>27</v>
      </c>
      <c r="F59" s="14" t="s">
        <v>27</v>
      </c>
      <c r="G59" s="13">
        <v>11.0</v>
      </c>
      <c r="H59" s="13">
        <v>6.0</v>
      </c>
      <c r="I59" s="13">
        <v>14.0</v>
      </c>
      <c r="J59" s="13">
        <v>10.0</v>
      </c>
      <c r="K59" s="14" t="s">
        <v>27</v>
      </c>
      <c r="L59" s="13">
        <v>10.0</v>
      </c>
      <c r="M59" s="13">
        <v>13.0</v>
      </c>
      <c r="N59" s="13">
        <v>6.0</v>
      </c>
      <c r="O59" s="13">
        <v>9.0</v>
      </c>
      <c r="P59" s="18">
        <v>2.0</v>
      </c>
      <c r="Q59" s="13">
        <v>10.0</v>
      </c>
      <c r="R59" s="13">
        <v>12.0</v>
      </c>
      <c r="S59" s="15">
        <v>3.0</v>
      </c>
      <c r="T59" s="16"/>
      <c r="U59" s="16"/>
      <c r="V59" s="16"/>
      <c r="W59" s="16"/>
      <c r="X59" s="16"/>
      <c r="Y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>
      <c r="A61" s="12" t="s">
        <v>68</v>
      </c>
      <c r="B61" s="12">
        <f>Z15 +Z15</f>
        <v>2</v>
      </c>
      <c r="C61" s="12" t="s">
        <v>69</v>
      </c>
      <c r="D61" s="12">
        <v>20.0</v>
      </c>
      <c r="E61" s="14" t="s">
        <v>27</v>
      </c>
      <c r="F61" s="12">
        <v>18.0</v>
      </c>
      <c r="G61" s="12">
        <v>21.0</v>
      </c>
      <c r="H61" s="12">
        <v>19.0</v>
      </c>
      <c r="I61" s="12">
        <v>21.0</v>
      </c>
      <c r="J61" s="14" t="s">
        <v>27</v>
      </c>
      <c r="K61" s="12">
        <v>19.0</v>
      </c>
      <c r="L61" s="13">
        <v>15.0</v>
      </c>
      <c r="M61" s="14" t="s">
        <v>27</v>
      </c>
      <c r="N61" s="14" t="s">
        <v>27</v>
      </c>
      <c r="O61" s="12">
        <v>17.0</v>
      </c>
      <c r="P61" s="13">
        <v>15.0</v>
      </c>
      <c r="Q61" s="14" t="s">
        <v>27</v>
      </c>
      <c r="R61" s="14" t="s">
        <v>27</v>
      </c>
      <c r="S61" s="14" t="s">
        <v>27</v>
      </c>
      <c r="T61" s="16"/>
      <c r="U61" s="16"/>
      <c r="V61" s="16"/>
      <c r="W61" s="16"/>
      <c r="X61" s="16"/>
      <c r="Y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>
      <c r="A63" s="12" t="s">
        <v>70</v>
      </c>
      <c r="B63" s="12">
        <f>Z12 +Z10 +Z8 +Z12 +Z9 + Z14 + Z15 +Z11 +Z14 +Z13</f>
        <v>42</v>
      </c>
      <c r="C63" s="12" t="s">
        <v>69</v>
      </c>
      <c r="D63" s="12">
        <v>21.0</v>
      </c>
      <c r="E63" s="13">
        <v>12.0</v>
      </c>
      <c r="F63" s="13">
        <v>10.0</v>
      </c>
      <c r="G63" s="12">
        <v>19.0</v>
      </c>
      <c r="H63" s="13">
        <v>8.0</v>
      </c>
      <c r="I63" s="13">
        <v>12.0</v>
      </c>
      <c r="J63" s="12">
        <v>20.0</v>
      </c>
      <c r="K63" s="13">
        <v>9.0</v>
      </c>
      <c r="L63" s="14" t="s">
        <v>27</v>
      </c>
      <c r="M63" s="12">
        <v>19.0</v>
      </c>
      <c r="N63" s="13">
        <v>14.0</v>
      </c>
      <c r="O63" s="13">
        <v>15.0</v>
      </c>
      <c r="P63" s="12">
        <v>17.0</v>
      </c>
      <c r="Q63" s="13">
        <v>11.0</v>
      </c>
      <c r="R63" s="13">
        <v>14.0</v>
      </c>
      <c r="S63" s="13">
        <v>13.0</v>
      </c>
      <c r="T63" s="16"/>
      <c r="U63" s="16"/>
      <c r="V63" s="16"/>
      <c r="W63" s="16"/>
      <c r="X63" s="16"/>
      <c r="Y63" s="16"/>
    </row>
    <row r="65">
      <c r="A65" s="12" t="s">
        <v>71</v>
      </c>
      <c r="B65" s="12" t="s">
        <v>72</v>
      </c>
      <c r="D65" s="12" t="s">
        <v>73</v>
      </c>
      <c r="E65" s="12" t="s">
        <v>72</v>
      </c>
    </row>
    <row r="66">
      <c r="A66" s="12" t="s">
        <v>26</v>
      </c>
      <c r="B66" s="12">
        <f> B5+B7</f>
        <v>102</v>
      </c>
      <c r="D66" s="12" t="s">
        <v>74</v>
      </c>
      <c r="E66" s="12">
        <f> B66+B67+B68+B69+B72+B73+B80+B79+B77+B76+B75</f>
        <v>1691</v>
      </c>
      <c r="W66" s="21">
        <v>1.0</v>
      </c>
      <c r="X66" s="22">
        <v>25.0</v>
      </c>
    </row>
    <row r="67">
      <c r="A67" s="12" t="s">
        <v>30</v>
      </c>
      <c r="B67" s="12">
        <f> B9+B11</f>
        <v>199</v>
      </c>
      <c r="D67" s="12" t="s">
        <v>75</v>
      </c>
      <c r="E67" s="12">
        <f> B71+B70</f>
        <v>535</v>
      </c>
      <c r="W67" s="23">
        <v>2.0</v>
      </c>
      <c r="X67" s="22">
        <v>20.0</v>
      </c>
    </row>
    <row r="68">
      <c r="A68" s="12" t="s">
        <v>33</v>
      </c>
      <c r="B68" s="12">
        <f> B13+B15</f>
        <v>140</v>
      </c>
      <c r="D68" s="12" t="s">
        <v>76</v>
      </c>
      <c r="E68" s="12">
        <f> B78+B74</f>
        <v>13</v>
      </c>
      <c r="W68" s="24">
        <v>3.0</v>
      </c>
      <c r="X68" s="22">
        <v>16.0</v>
      </c>
    </row>
    <row r="69">
      <c r="A69" s="12" t="s">
        <v>36</v>
      </c>
      <c r="B69" s="12">
        <f>B17+B19</f>
        <v>227</v>
      </c>
      <c r="W69" s="25">
        <v>4.0</v>
      </c>
      <c r="X69" s="22">
        <v>13.0</v>
      </c>
    </row>
    <row r="70">
      <c r="A70" s="12" t="s">
        <v>39</v>
      </c>
      <c r="B70" s="12">
        <f> B21+B23</f>
        <v>290</v>
      </c>
      <c r="W70" s="25">
        <v>5.0</v>
      </c>
      <c r="X70" s="22">
        <v>11.0</v>
      </c>
    </row>
    <row r="71">
      <c r="A71" s="12" t="s">
        <v>42</v>
      </c>
      <c r="B71" s="12">
        <f> B25+B27</f>
        <v>245</v>
      </c>
      <c r="W71" s="25">
        <v>6.0</v>
      </c>
      <c r="X71" s="22">
        <v>10.0</v>
      </c>
    </row>
    <row r="72">
      <c r="A72" s="12" t="s">
        <v>45</v>
      </c>
      <c r="B72" s="12">
        <f> B29+B31</f>
        <v>9</v>
      </c>
      <c r="W72" s="25">
        <v>7.0</v>
      </c>
      <c r="X72" s="22">
        <v>9.0</v>
      </c>
    </row>
    <row r="73">
      <c r="A73" s="12" t="s">
        <v>48</v>
      </c>
      <c r="B73" s="12">
        <f>B33+B35</f>
        <v>363</v>
      </c>
      <c r="W73" s="25">
        <v>8.0</v>
      </c>
      <c r="X73" s="22">
        <v>8.0</v>
      </c>
    </row>
    <row r="74">
      <c r="A74" s="12" t="s">
        <v>57</v>
      </c>
      <c r="B74" s="12">
        <f> B45+B47</f>
        <v>6</v>
      </c>
      <c r="W74" s="25"/>
      <c r="X74" s="22"/>
    </row>
    <row r="75">
      <c r="A75" s="12" t="s">
        <v>51</v>
      </c>
      <c r="B75" s="12">
        <f> B37+B39</f>
        <v>131</v>
      </c>
      <c r="W75" s="25">
        <v>9.0</v>
      </c>
      <c r="X75" s="22">
        <v>7.0</v>
      </c>
    </row>
    <row r="76">
      <c r="A76" s="12" t="s">
        <v>54</v>
      </c>
      <c r="B76" s="12">
        <f>B41+B43</f>
        <v>8</v>
      </c>
      <c r="W76" s="25">
        <v>10.0</v>
      </c>
      <c r="X76" s="22">
        <v>6.0</v>
      </c>
    </row>
    <row r="77">
      <c r="A77" s="12" t="s">
        <v>60</v>
      </c>
      <c r="B77" s="12">
        <f> B49+B51</f>
        <v>232</v>
      </c>
      <c r="W77" s="25">
        <v>12.0</v>
      </c>
      <c r="X77" s="22">
        <v>4.0</v>
      </c>
    </row>
    <row r="78">
      <c r="A78" s="12" t="s">
        <v>63</v>
      </c>
      <c r="B78" s="12">
        <f> B53+B55</f>
        <v>7</v>
      </c>
      <c r="W78" s="25">
        <v>13.0</v>
      </c>
      <c r="X78" s="22">
        <v>3.0</v>
      </c>
    </row>
    <row r="79">
      <c r="A79" s="12" t="s">
        <v>66</v>
      </c>
      <c r="B79" s="12">
        <f> B57+B59</f>
        <v>236</v>
      </c>
      <c r="W79" s="25">
        <v>14.0</v>
      </c>
      <c r="X79" s="22">
        <v>2.0</v>
      </c>
    </row>
    <row r="80">
      <c r="A80" s="12" t="s">
        <v>69</v>
      </c>
      <c r="B80" s="12">
        <f> B61+B63</f>
        <v>44</v>
      </c>
      <c r="W80" s="25">
        <v>15.0</v>
      </c>
      <c r="X80" s="22">
        <v>1.0</v>
      </c>
    </row>
    <row r="81">
      <c r="W81" s="26" t="s">
        <v>27</v>
      </c>
      <c r="X81" s="27"/>
    </row>
    <row r="82">
      <c r="A82" s="28" t="s">
        <v>77</v>
      </c>
      <c r="B82" s="9" t="s">
        <v>4</v>
      </c>
      <c r="C82" s="29" t="s">
        <v>5</v>
      </c>
      <c r="D82" s="9" t="s">
        <v>6</v>
      </c>
      <c r="E82" s="8" t="s">
        <v>7</v>
      </c>
      <c r="F82" s="8" t="s">
        <v>8</v>
      </c>
      <c r="G82" s="8" t="s">
        <v>9</v>
      </c>
      <c r="H82" s="8" t="s">
        <v>10</v>
      </c>
      <c r="I82" s="8" t="s">
        <v>11</v>
      </c>
      <c r="J82" s="8" t="s">
        <v>12</v>
      </c>
      <c r="K82" s="8" t="s">
        <v>13</v>
      </c>
      <c r="L82" s="9" t="s">
        <v>14</v>
      </c>
      <c r="M82" s="9" t="s">
        <v>15</v>
      </c>
      <c r="N82" s="9" t="s">
        <v>16</v>
      </c>
      <c r="O82" s="9" t="s">
        <v>17</v>
      </c>
      <c r="P82" s="9" t="s">
        <v>18</v>
      </c>
      <c r="Q82" s="9" t="s">
        <v>19</v>
      </c>
      <c r="R82" s="9" t="s">
        <v>20</v>
      </c>
      <c r="S82" s="9" t="s">
        <v>21</v>
      </c>
      <c r="T82" s="9" t="s">
        <v>22</v>
      </c>
      <c r="U82" s="9" t="s">
        <v>23</v>
      </c>
      <c r="V82" s="9" t="s">
        <v>24</v>
      </c>
      <c r="W82" s="9" t="s">
        <v>5</v>
      </c>
    </row>
    <row r="83">
      <c r="A83" s="30" t="s">
        <v>78</v>
      </c>
      <c r="B83" s="30" t="s">
        <v>79</v>
      </c>
      <c r="C83" s="31" t="s">
        <v>80</v>
      </c>
      <c r="D83" s="32" t="s">
        <v>81</v>
      </c>
      <c r="E83" s="32" t="s">
        <v>82</v>
      </c>
      <c r="F83" s="30" t="s">
        <v>83</v>
      </c>
      <c r="G83" s="30" t="s">
        <v>84</v>
      </c>
      <c r="H83" s="30" t="s">
        <v>85</v>
      </c>
      <c r="I83" s="30" t="s">
        <v>86</v>
      </c>
      <c r="J83" s="33" t="s">
        <v>87</v>
      </c>
      <c r="K83" s="33" t="s">
        <v>88</v>
      </c>
      <c r="L83" s="33" t="s">
        <v>89</v>
      </c>
      <c r="M83" s="33" t="s">
        <v>90</v>
      </c>
      <c r="N83" s="33" t="s">
        <v>91</v>
      </c>
      <c r="O83" s="33" t="s">
        <v>92</v>
      </c>
      <c r="P83" s="33" t="s">
        <v>93</v>
      </c>
      <c r="Q83" s="33" t="s">
        <v>94</v>
      </c>
      <c r="W83" s="34"/>
    </row>
    <row r="84">
      <c r="A84" s="34"/>
      <c r="B84" s="34"/>
      <c r="C84" s="35"/>
      <c r="D84" s="36"/>
      <c r="E84" s="36"/>
      <c r="F84" s="34"/>
      <c r="G84" s="34"/>
      <c r="H84" s="34"/>
      <c r="I84" s="34"/>
      <c r="W84" s="34"/>
    </row>
    <row r="85">
      <c r="A85" s="30" t="s">
        <v>47</v>
      </c>
      <c r="B85" s="30" t="s">
        <v>95</v>
      </c>
      <c r="C85" s="31" t="s">
        <v>96</v>
      </c>
      <c r="D85" s="32" t="s">
        <v>97</v>
      </c>
      <c r="E85" s="32" t="s">
        <v>98</v>
      </c>
      <c r="F85" s="30" t="s">
        <v>99</v>
      </c>
      <c r="G85" s="30" t="s">
        <v>100</v>
      </c>
      <c r="H85" s="30" t="s">
        <v>101</v>
      </c>
      <c r="I85" s="30" t="s">
        <v>102</v>
      </c>
      <c r="J85" s="33" t="s">
        <v>103</v>
      </c>
      <c r="K85" s="33" t="s">
        <v>104</v>
      </c>
      <c r="L85" s="33" t="s">
        <v>105</v>
      </c>
      <c r="M85" s="33" t="s">
        <v>106</v>
      </c>
      <c r="N85" s="33" t="s">
        <v>107</v>
      </c>
      <c r="O85" s="33" t="s">
        <v>108</v>
      </c>
      <c r="P85" s="33" t="s">
        <v>109</v>
      </c>
      <c r="Q85" s="33" t="s">
        <v>110</v>
      </c>
      <c r="W85" s="34"/>
    </row>
    <row r="86">
      <c r="A86" s="34"/>
      <c r="B86" s="34"/>
      <c r="C86" s="35"/>
      <c r="D86" s="36"/>
      <c r="E86" s="36"/>
      <c r="F86" s="34"/>
      <c r="G86" s="34"/>
      <c r="H86" s="34"/>
      <c r="I86" s="34"/>
      <c r="W86" s="34"/>
    </row>
    <row r="87">
      <c r="A87" s="37" t="s">
        <v>29</v>
      </c>
      <c r="B87" s="37" t="s">
        <v>111</v>
      </c>
      <c r="C87" s="38" t="s">
        <v>112</v>
      </c>
      <c r="D87" s="39" t="s">
        <v>113</v>
      </c>
      <c r="E87" s="39" t="s">
        <v>114</v>
      </c>
      <c r="F87" s="37" t="s">
        <v>115</v>
      </c>
      <c r="G87" s="37" t="s">
        <v>116</v>
      </c>
      <c r="H87" s="37" t="s">
        <v>117</v>
      </c>
      <c r="I87" s="37" t="s">
        <v>118</v>
      </c>
      <c r="J87" s="40" t="s">
        <v>119</v>
      </c>
      <c r="K87" s="40" t="s">
        <v>120</v>
      </c>
      <c r="L87" s="40" t="s">
        <v>121</v>
      </c>
      <c r="M87" s="40" t="s">
        <v>122</v>
      </c>
      <c r="N87" s="40" t="s">
        <v>123</v>
      </c>
      <c r="O87" s="40" t="s">
        <v>124</v>
      </c>
      <c r="P87" s="40" t="s">
        <v>125</v>
      </c>
      <c r="Q87" s="40" t="s">
        <v>126</v>
      </c>
      <c r="R87" s="41"/>
      <c r="S87" s="41"/>
      <c r="T87" s="41"/>
      <c r="U87" s="41"/>
      <c r="V87" s="41"/>
      <c r="W87" s="42"/>
    </row>
  </sheetData>
  <mergeCells count="1">
    <mergeCell ref="A1:Y3"/>
  </mergeCells>
  <drawing r:id="rId1"/>
</worksheet>
</file>