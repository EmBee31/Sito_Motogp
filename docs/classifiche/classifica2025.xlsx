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<sst xmlns="http://schemas.openxmlformats.org/spreadsheetml/2006/main" count="207" uniqueCount="98">
  <si>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</si>
  <si>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</si>
  <si>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</si>
  <si>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</si>
  <si>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</si>
  <si>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</si>
  <si>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</si>
  <si>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</si>
  <si>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</si>
  <si>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</si>
  <si>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</si>
  <si>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</si>
  <si>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</si>
  <si>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</si>
  <si>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</si>
  <si>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</si>
  <si>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</si>
  <si>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</si>
  <si>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</si>
  <si>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</si>
  <si>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</si>
  <si>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</si>
  <si>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</si>
  <si>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</si>
  <si>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</si>
  <si>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</si>
  <si>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</si>
  <si>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</si>
  <si>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</si>
  <si>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</si>
  <si>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</si>
  <si>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</si>
  <si>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</si>
  <si>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</si>
  <si>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</si>
  <si>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</si>
  <si>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</si>
  <si>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</si>
  <si>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</si>
  <si>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</si>
  <si>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</si>
  <si>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</si>
  <si>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</si>
  <si>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</si>
  <si>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</si>
  <si>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</si>
  <si>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</si>
  <si>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</si>
  <si>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</si>
  <si>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</si>
  <si>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</si>
  <si>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</si>
  <si>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</si>
  <si>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</si>
  <si>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</si>
  <si>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</si>
  <si>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</si>
  <si>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</si>
  <si>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</si>
  <si>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</si>
  <si>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</si>
  <si>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</si>
  <si>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</si>
  <si>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</si>
  <si>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</si>
  <si>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</si>
  <si>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</si>
  <si>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</si>
  <si>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</si>
  <si>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</si>
  <si>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</si>
  <si>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</si>
  <si>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</si>
  <si>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</si>
  <si>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</si>
  <si>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</si>
  <si>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</si>
  <si>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</si>
  <si>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Kazakhstan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</si>
  <si>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</si>
  <si>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</si>
  <si>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</si>
  <si>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</si>
  <si>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</si>
  <si>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</si>
  <si>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</si>
  <si>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</si>
  <si>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</si>
  <si>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</si>
  <si>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</si>
  <si>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</si>
  <si>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</si>
  <si>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1:34.373, 2</t>
  </si>
  <si>
    <t>1:34.006, 14esimo</t>
  </si>
  <si>
    <t>2:08.426, 15esimo</t>
  </si>
  <si>
    <t>1:58.110, 14esimo</t>
  </si>
  <si>
    <t>1:41.182, 2</t>
  </si>
  <si>
    <t>1:36.442, 16esimo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</si>
</sst>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0" fontId="3" numFmtId="0" xfId="0" applyAlignment="1" applyFont="1">
      <alignment vertical="bottom"/>
    </xf>
    <xf borderId="0" fillId="2" fontId="4" numFmtId="0" xfId="0" applyAlignment="1" applyFont="1">
      <alignment horizontal="center" vertical="bottom"/>
    </xf>
    <xf borderId="0" fillId="7" fontId="4" numFmtId="0" xfId="0" applyAlignment="1" applyFont="1">
      <alignment horizontal="center" readingOrder="0" vertical="bottom"/>
    </xf>
    <xf borderId="0" fillId="6" fontId="4" numFmtId="0" xfId="0" applyAlignment="1" applyFont="1">
      <alignment horizontal="center" readingOrder="0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8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8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3.88"/>
    <col customWidth="1" min="6" max="6" width="14.38"/>
    <col customWidth="1" min="7" max="7" width="15.0"/>
    <col customWidth="1" min="8" max="8" width="16.38"/>
    <col customWidth="1" min="10" max="10" width="15.7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</f>
        <v>34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3">
        <v>11.0</v>
      </c>
      <c r="AA5" s="16">
        <v>2.0</v>
      </c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7">
        <v>3.0</v>
      </c>
    </row>
    <row r="7">
      <c r="A7" s="12" t="s">
        <v>28</v>
      </c>
      <c r="B7" s="12">
        <v>0.0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4.0</v>
      </c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5.0</v>
      </c>
    </row>
    <row r="9">
      <c r="A9" s="12" t="s">
        <v>29</v>
      </c>
      <c r="B9" s="12">
        <f> Z4 +Z10 +Z14 +Z2 +Z4</f>
        <v>54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6.0</v>
      </c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7.0</v>
      </c>
    </row>
    <row r="11">
      <c r="A11" s="12" t="s">
        <v>31</v>
      </c>
      <c r="B11" s="12">
        <f>Z13 +Z9 +Z13 +Z11 +Z11</f>
        <v>23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8.0</v>
      </c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9.0</v>
      </c>
    </row>
    <row r="13">
      <c r="A13" s="12" t="s">
        <v>32</v>
      </c>
      <c r="B13" s="12">
        <f>Z14 +Z8 +Z11 +Z9 +Z15</f>
        <v>23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10.0</v>
      </c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11.0</v>
      </c>
    </row>
    <row r="15">
      <c r="A15" s="12" t="s">
        <v>34</v>
      </c>
      <c r="B15" s="12">
        <f> Z6 +Z5 +Z8</f>
        <v>29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12.0</v>
      </c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8"/>
      <c r="AA16" s="13">
        <v>13.0</v>
      </c>
    </row>
    <row r="17">
      <c r="A17" s="12" t="s">
        <v>35</v>
      </c>
      <c r="B17" s="12">
        <f>Z12 +Z4 +Z3 +Z6</f>
        <v>43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7">
        <v>3.0</v>
      </c>
      <c r="I17" s="13">
        <v>6.0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AA17" s="13">
        <v>14.0</v>
      </c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AA18" s="13">
        <v>15.0</v>
      </c>
    </row>
    <row r="19">
      <c r="A19" s="12" t="s">
        <v>37</v>
      </c>
      <c r="B19" s="12">
        <f> Z8 + Z2 +Z5 +Z4 +Z4</f>
        <v>65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AA19" s="14" t="s">
        <v>27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2" t="s">
        <v>38</v>
      </c>
      <c r="B21" s="12">
        <f>Z2 +Z2 +Z1</f>
        <v>65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9"/>
    </row>
    <row r="23">
      <c r="A23" s="12" t="s">
        <v>40</v>
      </c>
      <c r="B23" s="12">
        <f>Z9 +Z1 +Z10</f>
        <v>38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9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9"/>
    </row>
    <row r="25">
      <c r="A25" s="12" t="s">
        <v>41</v>
      </c>
      <c r="B25" s="12">
        <f> Z9 + Z1 +Z8 +Z3 +Z3</f>
        <v>72</v>
      </c>
      <c r="C25" s="12" t="s">
        <v>42</v>
      </c>
      <c r="D25" s="13">
        <v>9.0</v>
      </c>
      <c r="E25" s="11">
        <v>1.0</v>
      </c>
      <c r="F25" s="13">
        <v>8.0</v>
      </c>
      <c r="G25" s="17">
        <v>3.0</v>
      </c>
      <c r="H25" s="14" t="s">
        <v>27</v>
      </c>
      <c r="I25" s="20">
        <v>3.0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9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9"/>
    </row>
    <row r="27">
      <c r="A27" s="12" t="s">
        <v>43</v>
      </c>
      <c r="B27" s="12">
        <f>Z11 +Z6 +Z6 +Z5 +Z9</f>
        <v>43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9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9"/>
    </row>
    <row r="29">
      <c r="A29" s="12" t="s">
        <v>44</v>
      </c>
      <c r="B29" s="12">
        <v>0.0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9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9"/>
    </row>
    <row r="31">
      <c r="A31" s="12" t="s">
        <v>46</v>
      </c>
      <c r="B31" s="12">
        <v>0.0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9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9"/>
    </row>
    <row r="33">
      <c r="A33" s="12" t="s">
        <v>47</v>
      </c>
      <c r="B33" s="12">
        <f> Z1 +Z4 +Z7 +Z12 +Z1 +Z3</f>
        <v>92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21">
        <v>2.0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9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9"/>
    </row>
    <row r="35">
      <c r="A35" s="12" t="s">
        <v>49</v>
      </c>
      <c r="B35" s="12">
        <f> Z2 +Z9</f>
        <v>27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9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9"/>
    </row>
    <row r="37">
      <c r="A37" s="12" t="s">
        <v>50</v>
      </c>
      <c r="B37" s="12">
        <f>Z14 +Z15 +Z12 +Z13</f>
        <v>10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3">
        <v>13.0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9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2" t="s">
        <v>52</v>
      </c>
      <c r="B39" s="12">
        <f> Z10 +Z5 +Z8 +Z10</f>
        <v>31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2" t="s">
        <v>56</v>
      </c>
      <c r="B45" s="12">
        <v>0.0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2" t="s">
        <v>59</v>
      </c>
      <c r="B49" s="12">
        <f> Z7 +Z3 +Z12 +Z14 +Z7</f>
        <v>40</v>
      </c>
      <c r="C49" s="12" t="s">
        <v>60</v>
      </c>
      <c r="D49" s="13">
        <v>7.0</v>
      </c>
      <c r="E49" s="17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2" t="s">
        <v>61</v>
      </c>
      <c r="B51" s="12">
        <f>Z3 +Z1</f>
        <v>41</v>
      </c>
      <c r="C51" s="12" t="s">
        <v>60</v>
      </c>
      <c r="D51" s="14" t="s">
        <v>27</v>
      </c>
      <c r="E51" s="14" t="s">
        <v>27</v>
      </c>
      <c r="F51" s="17">
        <v>3.0</v>
      </c>
      <c r="G51" s="11">
        <v>1.0</v>
      </c>
      <c r="H51" s="12">
        <v>18.0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2" t="s">
        <v>64</v>
      </c>
      <c r="B55" s="12">
        <f>Z14</f>
        <v>2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2" t="s">
        <v>65</v>
      </c>
      <c r="B57" s="12">
        <f> Z3 +Z7 +Z6 +Z7</f>
        <v>44</v>
      </c>
      <c r="C57" s="12" t="s">
        <v>66</v>
      </c>
      <c r="D57" s="17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2" t="s">
        <v>67</v>
      </c>
      <c r="B59" s="12">
        <f> Z5 +Z11 +Z6 +Z14</f>
        <v>28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2" t="s">
        <v>68</v>
      </c>
      <c r="B61" s="12">
        <v>0.0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2" t="s">
        <v>70</v>
      </c>
      <c r="B63" s="12">
        <f>Z12 +Z10 +Z8 +Z12</f>
        <v>22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34</v>
      </c>
      <c r="D66" s="12" t="s">
        <v>74</v>
      </c>
      <c r="E66" s="12">
        <f> B66+B67+B68+B69+B72+B73+B80+B79+B77+B76+B75</f>
        <v>614</v>
      </c>
      <c r="W66" s="22">
        <v>1.0</v>
      </c>
      <c r="X66" s="23">
        <v>25.0</v>
      </c>
    </row>
    <row r="67">
      <c r="A67" s="12" t="s">
        <v>30</v>
      </c>
      <c r="B67" s="12">
        <f> B9+B11</f>
        <v>77</v>
      </c>
      <c r="D67" s="12" t="s">
        <v>75</v>
      </c>
      <c r="E67" s="12">
        <f> B71+B70</f>
        <v>218</v>
      </c>
      <c r="W67" s="24">
        <v>2.0</v>
      </c>
      <c r="X67" s="23">
        <v>20.0</v>
      </c>
    </row>
    <row r="68">
      <c r="A68" s="12" t="s">
        <v>33</v>
      </c>
      <c r="B68" s="12">
        <f> B13+B15</f>
        <v>52</v>
      </c>
      <c r="D68" s="12" t="s">
        <v>76</v>
      </c>
      <c r="E68" s="12">
        <f> B78+B74</f>
        <v>4</v>
      </c>
      <c r="W68" s="25">
        <v>3.0</v>
      </c>
      <c r="X68" s="23">
        <v>16.0</v>
      </c>
    </row>
    <row r="69">
      <c r="A69" s="12" t="s">
        <v>36</v>
      </c>
      <c r="B69" s="12">
        <f>B17+B19</f>
        <v>108</v>
      </c>
      <c r="W69" s="26">
        <v>4.0</v>
      </c>
      <c r="X69" s="23">
        <v>13.0</v>
      </c>
    </row>
    <row r="70">
      <c r="A70" s="12" t="s">
        <v>39</v>
      </c>
      <c r="B70" s="12">
        <f> B21+B23</f>
        <v>103</v>
      </c>
      <c r="W70" s="26">
        <v>5.0</v>
      </c>
      <c r="X70" s="23">
        <v>11.0</v>
      </c>
    </row>
    <row r="71">
      <c r="A71" s="12" t="s">
        <v>42</v>
      </c>
      <c r="B71" s="12">
        <f> B25+B27</f>
        <v>115</v>
      </c>
      <c r="W71" s="26">
        <v>6.0</v>
      </c>
      <c r="X71" s="23">
        <v>10.0</v>
      </c>
    </row>
    <row r="72">
      <c r="A72" s="12" t="s">
        <v>45</v>
      </c>
      <c r="B72" s="12">
        <f> B29+B31</f>
        <v>0</v>
      </c>
      <c r="W72" s="26">
        <v>7.0</v>
      </c>
      <c r="X72" s="23">
        <v>9.0</v>
      </c>
    </row>
    <row r="73">
      <c r="A73" s="12" t="s">
        <v>48</v>
      </c>
      <c r="B73" s="12">
        <f>B33+B35</f>
        <v>119</v>
      </c>
      <c r="W73" s="26">
        <v>8.0</v>
      </c>
      <c r="X73" s="23">
        <v>8.0</v>
      </c>
    </row>
    <row r="74">
      <c r="A74" s="12" t="s">
        <v>57</v>
      </c>
      <c r="B74" s="12">
        <f> B45+B47</f>
        <v>2</v>
      </c>
      <c r="W74" s="26"/>
      <c r="X74" s="23"/>
    </row>
    <row r="75">
      <c r="A75" s="12" t="s">
        <v>51</v>
      </c>
      <c r="B75" s="12">
        <f> B37+B39</f>
        <v>41</v>
      </c>
      <c r="W75" s="26">
        <v>9.0</v>
      </c>
      <c r="X75" s="23">
        <v>7.0</v>
      </c>
    </row>
    <row r="76">
      <c r="A76" s="12" t="s">
        <v>54</v>
      </c>
      <c r="B76" s="12">
        <f>B41+B43</f>
        <v>8</v>
      </c>
      <c r="W76" s="26">
        <v>10.0</v>
      </c>
      <c r="X76" s="23">
        <v>6.0</v>
      </c>
    </row>
    <row r="77">
      <c r="A77" s="12" t="s">
        <v>60</v>
      </c>
      <c r="B77" s="12">
        <f> B49+B51</f>
        <v>81</v>
      </c>
      <c r="W77" s="26">
        <v>12.0</v>
      </c>
      <c r="X77" s="23">
        <v>4.0</v>
      </c>
    </row>
    <row r="78">
      <c r="A78" s="12" t="s">
        <v>63</v>
      </c>
      <c r="B78" s="12">
        <f> B53+B55</f>
        <v>2</v>
      </c>
      <c r="W78" s="26">
        <v>13.0</v>
      </c>
      <c r="X78" s="23">
        <v>3.0</v>
      </c>
    </row>
    <row r="79">
      <c r="A79" s="12" t="s">
        <v>66</v>
      </c>
      <c r="B79" s="12">
        <f> B57+B59</f>
        <v>72</v>
      </c>
      <c r="W79" s="26">
        <v>14.0</v>
      </c>
      <c r="X79" s="23">
        <v>2.0</v>
      </c>
    </row>
    <row r="80">
      <c r="A80" s="12" t="s">
        <v>69</v>
      </c>
      <c r="B80" s="12">
        <f> B61+B63</f>
        <v>22</v>
      </c>
      <c r="W80" s="26">
        <v>15.0</v>
      </c>
      <c r="X80" s="23">
        <v>1.0</v>
      </c>
    </row>
    <row r="81">
      <c r="W81" s="27" t="s">
        <v>27</v>
      </c>
      <c r="X81" s="28"/>
    </row>
    <row r="82">
      <c r="A82" s="29" t="s">
        <v>77</v>
      </c>
      <c r="B82" s="9" t="s">
        <v>4</v>
      </c>
      <c r="C82" s="30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78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1" t="s">
        <v>79</v>
      </c>
      <c r="B83" s="31" t="s">
        <v>80</v>
      </c>
      <c r="C83" s="32" t="s">
        <v>81</v>
      </c>
      <c r="D83" s="32" t="s">
        <v>82</v>
      </c>
      <c r="E83" s="32" t="s">
        <v>83</v>
      </c>
      <c r="F83" s="32" t="s">
        <v>84</v>
      </c>
      <c r="G83" s="32" t="s">
        <v>85</v>
      </c>
      <c r="W83" s="33"/>
    </row>
    <row r="84">
      <c r="A84" s="33"/>
      <c r="B84" s="33"/>
      <c r="W84" s="33"/>
    </row>
    <row r="85">
      <c r="A85" s="31" t="s">
        <v>47</v>
      </c>
      <c r="B85" s="31" t="s">
        <v>86</v>
      </c>
      <c r="C85" s="32" t="s">
        <v>87</v>
      </c>
      <c r="D85" s="32" t="s">
        <v>88</v>
      </c>
      <c r="E85" s="32" t="s">
        <v>89</v>
      </c>
      <c r="F85" s="32" t="s">
        <v>90</v>
      </c>
      <c r="G85" s="32" t="s">
        <v>91</v>
      </c>
      <c r="W85" s="33"/>
    </row>
    <row r="86">
      <c r="A86" s="33"/>
      <c r="B86" s="33"/>
      <c r="W86" s="33"/>
    </row>
    <row r="87">
      <c r="A87" s="34" t="s">
        <v>29</v>
      </c>
      <c r="B87" s="34" t="s">
        <v>92</v>
      </c>
      <c r="C87" s="35" t="s">
        <v>93</v>
      </c>
      <c r="D87" s="35" t="s">
        <v>94</v>
      </c>
      <c r="E87" s="35" t="s">
        <v>95</v>
      </c>
      <c r="F87" s="35" t="s">
        <v>96</v>
      </c>
      <c r="G87" s="35" t="s">
        <v>97</v>
      </c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7"/>
    </row>
  </sheetData>
  <mergeCells count="1">
    <mergeCell ref="A1:Y3"/>
  </mergeCells>
  <drawing r:id="rId1"/>
</worksheet>
</file>