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anuel\Desktop\Vs_Code\Sito_Motogp\Sito_Motogp\docs\classifiche\"/>
    </mc:Choice>
  </mc:AlternateContent>
  <xr:revisionPtr revIDLastSave="0" documentId="13_ncr:1_{C81853A2-1AAF-4DD0-A2CF-B5B5F3540746}" xr6:coauthVersionLast="47" xr6:coauthVersionMax="47" xr10:uidLastSave="{00000000-0000-0000-0000-000000000000}"/>
  <bookViews>
    <workbookView xWindow="1884" yWindow="3672" windowWidth="23040" windowHeight="12204" xr2:uid="{00000000-000D-0000-FFFF-FFFF00000000}"/>
  </bookViews>
  <sheets>
    <sheet name="Foglio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9" i="1" l="1"/>
  <c r="B77" i="1"/>
  <c r="B74" i="1"/>
  <c r="B72" i="1"/>
  <c r="B71" i="1"/>
  <c r="B69" i="1"/>
  <c r="B63" i="1"/>
  <c r="B80" i="1" s="1"/>
  <c r="B59" i="1"/>
  <c r="B57" i="1"/>
  <c r="B55" i="1"/>
  <c r="B78" i="1" s="1"/>
  <c r="E68" i="1" s="1"/>
  <c r="B51" i="1"/>
  <c r="B49" i="1"/>
  <c r="B47" i="1"/>
  <c r="B41" i="1"/>
  <c r="B76" i="1" s="1"/>
  <c r="B39" i="1"/>
  <c r="B37" i="1"/>
  <c r="B75" i="1" s="1"/>
  <c r="B35" i="1"/>
  <c r="B33" i="1"/>
  <c r="B73" i="1" s="1"/>
  <c r="B27" i="1"/>
  <c r="B25" i="1"/>
  <c r="B23" i="1"/>
  <c r="B21" i="1"/>
  <c r="B70" i="1" s="1"/>
  <c r="B19" i="1"/>
  <c r="B17" i="1"/>
  <c r="B15" i="1"/>
  <c r="B13" i="1"/>
  <c r="B68" i="1" s="1"/>
  <c r="B11" i="1"/>
  <c r="B9" i="1"/>
  <c r="B67" i="1" s="1"/>
  <c r="B5" i="1"/>
  <c r="B66" i="1" s="1"/>
  <c r="E66" i="1" l="1"/>
  <c r="E67" i="1"/>
</calcChain>
</file>

<file path=xl/sharedStrings.xml><?xml version="1.0" encoding="utf-8"?>
<sst xmlns="http://schemas.openxmlformats.org/spreadsheetml/2006/main" count="196" uniqueCount="94">
  <si>
    <t>STAGIONE 2025: MOTO 2</t>
  </si>
  <si>
    <t>PILOTA</t>
  </si>
  <si>
    <t>PUNTI</t>
  </si>
  <si>
    <t>SCUDERIA</t>
  </si>
  <si>
    <t>THAILANDIA</t>
  </si>
  <si>
    <t>VALENCIA</t>
  </si>
  <si>
    <t>USA</t>
  </si>
  <si>
    <t>QATAR</t>
  </si>
  <si>
    <t>SPAGNA</t>
  </si>
  <si>
    <t>FRANCIA</t>
  </si>
  <si>
    <t>GRAN BRETAGNA</t>
  </si>
  <si>
    <t>ARAGON</t>
  </si>
  <si>
    <t>ITALIA</t>
  </si>
  <si>
    <t>OLANDA</t>
  </si>
  <si>
    <t>GERMANIA</t>
  </si>
  <si>
    <t>AUSTRIA</t>
  </si>
  <si>
    <t>INDIA</t>
  </si>
  <si>
    <t>CATALOGNA</t>
  </si>
  <si>
    <t>MISANO</t>
  </si>
  <si>
    <t>GIAPPONE</t>
  </si>
  <si>
    <t>INDONESIA</t>
  </si>
  <si>
    <t>AUSTRALIA</t>
  </si>
  <si>
    <t>MALESIA</t>
  </si>
  <si>
    <t>PORTOGALLO</t>
  </si>
  <si>
    <t>Aron Canet</t>
  </si>
  <si>
    <t>Fantic Racing</t>
  </si>
  <si>
    <t>RIT</t>
  </si>
  <si>
    <t>Xavier Cardalus</t>
  </si>
  <si>
    <t>Lorenzo Gabrielli</t>
  </si>
  <si>
    <t>Idrofoglia Racing GP</t>
  </si>
  <si>
    <t>Zonta van den Goorbergh</t>
  </si>
  <si>
    <t>Deniz Oncu</t>
  </si>
  <si>
    <t>Red Bull KTM Ajo</t>
  </si>
  <si>
    <t>Celestino Vietti</t>
  </si>
  <si>
    <t>Izan Guevara</t>
  </si>
  <si>
    <t>CF Moto</t>
  </si>
  <si>
    <t>Jake Dixon</t>
  </si>
  <si>
    <t>Ai Ogura</t>
  </si>
  <si>
    <t>MT Helmets</t>
  </si>
  <si>
    <t>Sergio Garcia</t>
  </si>
  <si>
    <t>Alonso Lopez</t>
  </si>
  <si>
    <t>Speed Up</t>
  </si>
  <si>
    <t>Fermin Aldeguer</t>
  </si>
  <si>
    <t>Xavier Artigas</t>
  </si>
  <si>
    <t>Klint Forward Racing Team</t>
  </si>
  <si>
    <t>Alex Escrig</t>
  </si>
  <si>
    <t>Manuel Bonelli</t>
  </si>
  <si>
    <t>VDS Racing Team</t>
  </si>
  <si>
    <t>Tony Arbolino</t>
  </si>
  <si>
    <t>Mario Aji</t>
  </si>
  <si>
    <t>Idemitsu Honda Team Asia</t>
  </si>
  <si>
    <t>Somkiat Chantra</t>
  </si>
  <si>
    <t>Dennis Foggia</t>
  </si>
  <si>
    <t>Italtrans Racing</t>
  </si>
  <si>
    <t>Diogo Moreira</t>
  </si>
  <si>
    <t>Darryn Binder</t>
  </si>
  <si>
    <t>Husquarna GP</t>
  </si>
  <si>
    <t>Senna Agius</t>
  </si>
  <si>
    <t>Marcus Ramirez</t>
  </si>
  <si>
    <t>Only Fans American Racing Team</t>
  </si>
  <si>
    <t>Joe Roberts</t>
  </si>
  <si>
    <t>Jaume Masia</t>
  </si>
  <si>
    <t>Preicanos Racing Team</t>
  </si>
  <si>
    <t>Daniel Muñoz</t>
  </si>
  <si>
    <t>Manuel Gonzales</t>
  </si>
  <si>
    <t>Gresini Moto2</t>
  </si>
  <si>
    <t>Albert Arenas</t>
  </si>
  <si>
    <t>Ayumu Sasaki</t>
  </si>
  <si>
    <t>VR46 Master Team</t>
  </si>
  <si>
    <t>Jeremy Alcoba</t>
  </si>
  <si>
    <t>Team</t>
  </si>
  <si>
    <t>Punti</t>
  </si>
  <si>
    <t>Costruttori</t>
  </si>
  <si>
    <t>Kalex</t>
  </si>
  <si>
    <t>Boscoscuro</t>
  </si>
  <si>
    <t>Forward</t>
  </si>
  <si>
    <t>TEMPI IN QUALIFICA</t>
  </si>
  <si>
    <t>POLE POSITION</t>
  </si>
  <si>
    <t>1:33.839</t>
  </si>
  <si>
    <t>1:32.302, Vietti</t>
  </si>
  <si>
    <t>2:06.986</t>
  </si>
  <si>
    <t>1:56, 306</t>
  </si>
  <si>
    <t>1:40, 413</t>
  </si>
  <si>
    <t>1:33.839, pole</t>
  </si>
  <si>
    <t>1:34.402, 15esimo</t>
  </si>
  <si>
    <t>2:08.976, 17esimo</t>
  </si>
  <si>
    <t>1:58.111, 15esimo</t>
  </si>
  <si>
    <t>1:34.373, 2</t>
  </si>
  <si>
    <t>1:34.006, 14esimo</t>
  </si>
  <si>
    <t>2:08.426, 15esimo</t>
  </si>
  <si>
    <t>1:58.110, 14esimo</t>
  </si>
  <si>
    <t>1:41.182, 2</t>
  </si>
  <si>
    <t>1:40, 413, pole, FL</t>
  </si>
  <si>
    <t>KAZAKHSTAN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</si>
</sst>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rgb="FF000000"/>
      <name val="Arial"/>
      <scheme val="minor"/>
    </font>
    <font>
      <sz val="25"/>
      <color theme="1"/>
      <name val="Arial"/>
      <scheme val="minor"/>
    </font>
    <font>
      <sz val="10"/>
      <name val="Arial"/>
    </font>
    <font>
      <sz val="10"/>
      <color theme="1"/>
      <name val="Arial"/>
    </font>
    <font>
      <b/>
      <sz val="10"/>
      <color theme="1"/>
      <name val="Arial"/>
    </font>
    <font>
      <b/>
      <sz val="10"/>
      <color theme="1"/>
      <name val="Arial"/>
      <scheme val="minor"/>
    </font>
    <font>
      <b/>
      <sz val="10"/>
      <color rgb="FF202122"/>
      <name val="Arial"/>
    </font>
    <font>
      <sz val="10"/>
      <color theme="1"/>
      <name val="Arial"/>
      <scheme val="minor"/>
    </font>
    <font>
      <b/>
      <sz val="10"/>
      <color rgb="FF000000"/>
      <name val="Arial"/>
    </font>
    <font>
      <sz val="10"/>
      <color rgb="FF000000"/>
      <name val="Arial"/>
    </font>
    <font>
      <b/>
      <sz val="10"/>
      <color theme="1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674EA7"/>
        <bgColor rgb="FF674EA7"/>
      </patternFill>
    </fill>
    <fill>
      <patternFill patternType="solid">
        <fgColor rgb="FF999999"/>
        <bgColor rgb="FF999999"/>
      </patternFill>
    </fill>
    <fill>
      <patternFill patternType="solid">
        <fgColor rgb="FFB45F06"/>
        <bgColor rgb="FFB45F06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4" fillId="0" borderId="6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7" fillId="0" borderId="6" xfId="0" applyFont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3" fillId="0" borderId="0" xfId="0" applyFont="1"/>
    <xf numFmtId="0" fontId="4" fillId="2" borderId="0" xfId="0" applyFont="1" applyFill="1" applyAlignment="1">
      <alignment horizontal="center"/>
    </xf>
    <xf numFmtId="0" fontId="8" fillId="3" borderId="0" xfId="0" applyFont="1" applyFill="1" applyAlignment="1">
      <alignment horizontal="center"/>
    </xf>
    <xf numFmtId="0" fontId="9" fillId="0" borderId="0" xfId="0" applyFont="1" applyAlignment="1">
      <alignment horizontal="right"/>
    </xf>
    <xf numFmtId="0" fontId="8" fillId="6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9" fillId="0" borderId="0" xfId="0" applyFont="1"/>
    <xf numFmtId="0" fontId="5" fillId="0" borderId="6" xfId="0" applyFont="1" applyBorder="1"/>
    <xf numFmtId="0" fontId="6" fillId="2" borderId="6" xfId="0" applyFont="1" applyFill="1" applyBorder="1" applyAlignment="1">
      <alignment horizontal="center"/>
    </xf>
    <xf numFmtId="0" fontId="7" fillId="0" borderId="7" xfId="0" applyFont="1" applyBorder="1"/>
    <xf numFmtId="0" fontId="7" fillId="0" borderId="0" xfId="0" applyFont="1"/>
    <xf numFmtId="0" fontId="7" fillId="0" borderId="8" xfId="0" applyFont="1" applyBorder="1"/>
    <xf numFmtId="0" fontId="7" fillId="0" borderId="5" xfId="0" applyFont="1" applyBorder="1"/>
    <xf numFmtId="0" fontId="1" fillId="0" borderId="1" xfId="0" applyFont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0" fillId="0" borderId="0" xfId="0"/>
    <xf numFmtId="0" fontId="2" fillId="0" borderId="4" xfId="0" applyFont="1" applyBorder="1"/>
    <xf numFmtId="0" fontId="2" fillId="0" borderId="5" xfId="0" applyFont="1" applyBorder="1"/>
    <xf numFmtId="0" fontId="10" fillId="0" borderId="6" xfId="0" applyFont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87"/>
  <sheetViews>
    <sheetView tabSelected="1" topLeftCell="C1" workbookViewId="0">
      <selection activeCell="O5" sqref="O5"/>
    </sheetView>
  </sheetViews>
  <sheetFormatPr defaultColWidth="12.6640625" defaultRowHeight="15.75" customHeight="1" x14ac:dyDescent="0.25"/>
  <cols>
    <col min="1" max="1" width="25.88671875" customWidth="1"/>
    <col min="3" max="3" width="26.77734375" customWidth="1"/>
    <col min="4" max="4" width="14.21875" customWidth="1"/>
    <col min="5" max="5" width="13.88671875" customWidth="1"/>
    <col min="10" max="10" width="15.77734375" customWidth="1"/>
    <col min="26" max="27" width="14.6640625" customWidth="1"/>
  </cols>
  <sheetData>
    <row r="1" spans="1:27" ht="15.75" customHeight="1" x14ac:dyDescent="0.5">
      <c r="A1" s="27" t="s">
        <v>0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1">
        <v>25</v>
      </c>
      <c r="AA1" s="2"/>
    </row>
    <row r="2" spans="1:27" ht="15.75" customHeight="1" x14ac:dyDescent="0.5">
      <c r="A2" s="29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1">
        <v>20</v>
      </c>
      <c r="AA2" s="2"/>
    </row>
    <row r="3" spans="1:27" ht="15.75" customHeight="1" x14ac:dyDescent="0.5">
      <c r="A3" s="31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1">
        <v>16</v>
      </c>
      <c r="AA3" s="2"/>
    </row>
    <row r="4" spans="1:27" ht="13.2" x14ac:dyDescent="0.25">
      <c r="A4" s="3" t="s">
        <v>1</v>
      </c>
      <c r="B4" s="3" t="s">
        <v>2</v>
      </c>
      <c r="C4" s="3" t="s">
        <v>3</v>
      </c>
      <c r="D4" s="4" t="s">
        <v>4</v>
      </c>
      <c r="E4" s="5" t="s">
        <v>5</v>
      </c>
      <c r="F4" s="4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3" t="s">
        <v>12</v>
      </c>
      <c r="M4" s="3" t="s">
        <v>13</v>
      </c>
      <c r="N4" s="4" t="s">
        <v>14</v>
      </c>
      <c r="O4" s="33" t="s">
        <v>93</v>
      </c>
      <c r="P4" s="4" t="s">
        <v>15</v>
      </c>
      <c r="Q4" s="4" t="s">
        <v>16</v>
      </c>
      <c r="R4" s="4" t="s">
        <v>17</v>
      </c>
      <c r="S4" s="4" t="s">
        <v>18</v>
      </c>
      <c r="T4" s="4" t="s">
        <v>19</v>
      </c>
      <c r="U4" s="4" t="s">
        <v>20</v>
      </c>
      <c r="V4" s="4" t="s">
        <v>21</v>
      </c>
      <c r="W4" s="4" t="s">
        <v>22</v>
      </c>
      <c r="X4" s="4" t="s">
        <v>23</v>
      </c>
      <c r="Y4" s="4" t="s">
        <v>5</v>
      </c>
      <c r="Z4" s="1">
        <v>13</v>
      </c>
      <c r="AA4" s="6">
        <v>1</v>
      </c>
    </row>
    <row r="5" spans="1:27" ht="13.2" x14ac:dyDescent="0.25">
      <c r="A5" s="7" t="s">
        <v>24</v>
      </c>
      <c r="B5" s="7">
        <f>Z13 +Z11 +Z7 +Z10</f>
        <v>23</v>
      </c>
      <c r="C5" s="7" t="s">
        <v>25</v>
      </c>
      <c r="D5" s="8">
        <v>13</v>
      </c>
      <c r="E5" s="8">
        <v>11</v>
      </c>
      <c r="F5" s="9" t="s">
        <v>26</v>
      </c>
      <c r="G5" s="8">
        <v>7</v>
      </c>
      <c r="H5" s="8">
        <v>10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1">
        <v>11</v>
      </c>
      <c r="AA5" s="10">
        <v>2</v>
      </c>
    </row>
    <row r="6" spans="1:27" ht="13.2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1">
        <v>10</v>
      </c>
      <c r="AA6" s="11">
        <v>3</v>
      </c>
    </row>
    <row r="7" spans="1:27" ht="13.2" x14ac:dyDescent="0.25">
      <c r="A7" s="7" t="s">
        <v>27</v>
      </c>
      <c r="B7" s="7">
        <v>0</v>
      </c>
      <c r="C7" s="7" t="s">
        <v>25</v>
      </c>
      <c r="D7" s="9" t="s">
        <v>26</v>
      </c>
      <c r="E7" s="9" t="s">
        <v>26</v>
      </c>
      <c r="F7" s="9" t="s">
        <v>26</v>
      </c>
      <c r="G7" s="7">
        <v>17</v>
      </c>
      <c r="H7" s="9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1">
        <v>9</v>
      </c>
      <c r="AA7" s="8">
        <v>4</v>
      </c>
    </row>
    <row r="8" spans="1:27" ht="13.2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1">
        <v>8</v>
      </c>
      <c r="AA8" s="8">
        <v>5</v>
      </c>
    </row>
    <row r="9" spans="1:27" ht="13.2" x14ac:dyDescent="0.25">
      <c r="A9" s="7" t="s">
        <v>28</v>
      </c>
      <c r="B9" s="7">
        <f>Z4 +Z10 +Z14 +Z2</f>
        <v>41</v>
      </c>
      <c r="C9" s="7" t="s">
        <v>29</v>
      </c>
      <c r="D9" s="8">
        <v>4</v>
      </c>
      <c r="E9" s="8">
        <v>10</v>
      </c>
      <c r="F9" s="9" t="s">
        <v>26</v>
      </c>
      <c r="G9" s="8">
        <v>14</v>
      </c>
      <c r="H9" s="10">
        <v>2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1">
        <v>7</v>
      </c>
      <c r="AA9" s="8">
        <v>6</v>
      </c>
    </row>
    <row r="10" spans="1:27" ht="13.2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1">
        <v>6</v>
      </c>
      <c r="AA10" s="8">
        <v>7</v>
      </c>
    </row>
    <row r="11" spans="1:27" ht="13.2" x14ac:dyDescent="0.25">
      <c r="A11" s="7" t="s">
        <v>30</v>
      </c>
      <c r="B11" s="7">
        <f>Z13 +Z9 +Z13 +Z11</f>
        <v>18</v>
      </c>
      <c r="C11" s="7" t="s">
        <v>29</v>
      </c>
      <c r="D11" s="9" t="s">
        <v>26</v>
      </c>
      <c r="E11" s="8">
        <v>13</v>
      </c>
      <c r="F11" s="8">
        <v>9</v>
      </c>
      <c r="G11" s="8">
        <v>13</v>
      </c>
      <c r="H11" s="8">
        <v>11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1">
        <v>5</v>
      </c>
      <c r="AA11" s="8">
        <v>8</v>
      </c>
    </row>
    <row r="12" spans="1:27" ht="13.2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1">
        <v>4</v>
      </c>
      <c r="AA12" s="8">
        <v>9</v>
      </c>
    </row>
    <row r="13" spans="1:27" ht="13.2" x14ac:dyDescent="0.25">
      <c r="A13" s="7" t="s">
        <v>31</v>
      </c>
      <c r="B13" s="7">
        <f>Z14 +Z8 +Z11 +Z9</f>
        <v>22</v>
      </c>
      <c r="C13" s="7" t="s">
        <v>32</v>
      </c>
      <c r="D13" s="8">
        <v>14</v>
      </c>
      <c r="E13" s="8">
        <v>8</v>
      </c>
      <c r="F13" s="8">
        <v>11</v>
      </c>
      <c r="G13" s="9" t="s">
        <v>26</v>
      </c>
      <c r="H13" s="8">
        <v>9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1">
        <v>3</v>
      </c>
      <c r="AA13" s="8">
        <v>10</v>
      </c>
    </row>
    <row r="14" spans="1:27" ht="13.2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1">
        <v>2</v>
      </c>
      <c r="AA14" s="8">
        <v>11</v>
      </c>
    </row>
    <row r="15" spans="1:27" ht="13.2" x14ac:dyDescent="0.25">
      <c r="A15" s="7" t="s">
        <v>33</v>
      </c>
      <c r="B15" s="7">
        <f>Z6 +Z5</f>
        <v>21</v>
      </c>
      <c r="C15" s="7" t="s">
        <v>32</v>
      </c>
      <c r="D15" s="8">
        <v>6</v>
      </c>
      <c r="E15" s="9" t="s">
        <v>26</v>
      </c>
      <c r="F15" s="9" t="s">
        <v>26</v>
      </c>
      <c r="G15" s="7">
        <v>18</v>
      </c>
      <c r="H15" s="8">
        <v>5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1">
        <v>1</v>
      </c>
      <c r="AA15" s="8">
        <v>12</v>
      </c>
    </row>
    <row r="16" spans="1:27" ht="13.2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12"/>
      <c r="AA16" s="8">
        <v>13</v>
      </c>
    </row>
    <row r="17" spans="1:27" ht="13.2" x14ac:dyDescent="0.25">
      <c r="A17" s="7" t="s">
        <v>34</v>
      </c>
      <c r="B17" s="7">
        <f>Z12 +Z4 +Z3</f>
        <v>33</v>
      </c>
      <c r="C17" s="7" t="s">
        <v>35</v>
      </c>
      <c r="D17" s="8">
        <v>12</v>
      </c>
      <c r="E17" s="9" t="s">
        <v>26</v>
      </c>
      <c r="F17" s="8">
        <v>4</v>
      </c>
      <c r="G17" s="9" t="s">
        <v>26</v>
      </c>
      <c r="H17" s="11">
        <v>3</v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AA17" s="8">
        <v>14</v>
      </c>
    </row>
    <row r="18" spans="1:27" ht="13.2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AA18" s="8">
        <v>15</v>
      </c>
    </row>
    <row r="19" spans="1:27" ht="13.2" x14ac:dyDescent="0.25">
      <c r="A19" s="7" t="s">
        <v>36</v>
      </c>
      <c r="B19" s="7">
        <f>Z8 + Z2 +Z5 +Z4 +Z4</f>
        <v>65</v>
      </c>
      <c r="C19" s="7" t="s">
        <v>35</v>
      </c>
      <c r="D19" s="8">
        <v>8</v>
      </c>
      <c r="E19" s="10">
        <v>2</v>
      </c>
      <c r="F19" s="8">
        <v>5</v>
      </c>
      <c r="G19" s="8">
        <v>4</v>
      </c>
      <c r="H19" s="8">
        <v>4</v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AA19" s="9" t="s">
        <v>26</v>
      </c>
    </row>
    <row r="20" spans="1:27" ht="13.2" x14ac:dyDescent="0.2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spans="1:27" ht="13.2" x14ac:dyDescent="0.25">
      <c r="A21" s="7" t="s">
        <v>37</v>
      </c>
      <c r="B21" s="7">
        <f>Z2 +Z2</f>
        <v>40</v>
      </c>
      <c r="C21" s="7" t="s">
        <v>38</v>
      </c>
      <c r="D21" s="9" t="s">
        <v>26</v>
      </c>
      <c r="E21" s="9" t="s">
        <v>26</v>
      </c>
      <c r="F21" s="10">
        <v>2</v>
      </c>
      <c r="G21" s="10">
        <v>2</v>
      </c>
      <c r="H21" s="9" t="s">
        <v>26</v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spans="1:27" ht="13.2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13"/>
    </row>
    <row r="23" spans="1:27" ht="13.2" x14ac:dyDescent="0.25">
      <c r="A23" s="7" t="s">
        <v>39</v>
      </c>
      <c r="B23" s="7">
        <f>Z9 +Z1 +Z10</f>
        <v>38</v>
      </c>
      <c r="C23" s="7" t="s">
        <v>38</v>
      </c>
      <c r="D23" s="9" t="s">
        <v>26</v>
      </c>
      <c r="E23" s="8">
        <v>9</v>
      </c>
      <c r="F23" s="6">
        <v>1</v>
      </c>
      <c r="G23" s="8">
        <v>10</v>
      </c>
      <c r="H23" s="9" t="s">
        <v>26</v>
      </c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13"/>
    </row>
    <row r="24" spans="1:27" ht="13.2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13"/>
    </row>
    <row r="25" spans="1:27" ht="13.2" x14ac:dyDescent="0.25">
      <c r="A25" s="7" t="s">
        <v>40</v>
      </c>
      <c r="B25" s="7">
        <f>Z9 + Z1 +Z8 +Z3</f>
        <v>56</v>
      </c>
      <c r="C25" s="7" t="s">
        <v>41</v>
      </c>
      <c r="D25" s="8">
        <v>9</v>
      </c>
      <c r="E25" s="6">
        <v>1</v>
      </c>
      <c r="F25" s="8">
        <v>8</v>
      </c>
      <c r="G25" s="11">
        <v>3</v>
      </c>
      <c r="H25" s="9" t="s">
        <v>26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13"/>
    </row>
    <row r="26" spans="1:27" ht="13.2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13"/>
    </row>
    <row r="27" spans="1:27" ht="13.2" x14ac:dyDescent="0.25">
      <c r="A27" s="7" t="s">
        <v>42</v>
      </c>
      <c r="B27" s="7">
        <f>Z11 +Z6 +Z6 +Z5</f>
        <v>36</v>
      </c>
      <c r="C27" s="7" t="s">
        <v>41</v>
      </c>
      <c r="D27" s="8">
        <v>11</v>
      </c>
      <c r="E27" s="8">
        <v>6</v>
      </c>
      <c r="F27" s="8">
        <v>6</v>
      </c>
      <c r="G27" s="8">
        <v>5</v>
      </c>
      <c r="H27" s="9" t="s">
        <v>26</v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13"/>
    </row>
    <row r="28" spans="1:27" ht="13.2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13"/>
    </row>
    <row r="29" spans="1:27" ht="13.2" x14ac:dyDescent="0.25">
      <c r="A29" s="7" t="s">
        <v>43</v>
      </c>
      <c r="B29" s="7">
        <v>0</v>
      </c>
      <c r="C29" s="7" t="s">
        <v>44</v>
      </c>
      <c r="D29" s="9" t="s">
        <v>26</v>
      </c>
      <c r="E29" s="9" t="s">
        <v>26</v>
      </c>
      <c r="F29" s="7">
        <v>21</v>
      </c>
      <c r="G29" s="7">
        <v>16</v>
      </c>
      <c r="H29" s="9" t="s">
        <v>26</v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13"/>
    </row>
    <row r="30" spans="1:27" ht="13.2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13"/>
    </row>
    <row r="31" spans="1:27" ht="13.2" x14ac:dyDescent="0.25">
      <c r="A31" s="7" t="s">
        <v>45</v>
      </c>
      <c r="B31" s="7">
        <v>0</v>
      </c>
      <c r="C31" s="7" t="s">
        <v>44</v>
      </c>
      <c r="D31" s="7">
        <v>19</v>
      </c>
      <c r="E31" s="7">
        <v>17</v>
      </c>
      <c r="F31" s="7">
        <v>20</v>
      </c>
      <c r="G31" s="9" t="s">
        <v>26</v>
      </c>
      <c r="H31" s="9" t="s">
        <v>26</v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13"/>
    </row>
    <row r="32" spans="1:27" ht="13.2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13"/>
    </row>
    <row r="33" spans="1:26" ht="13.2" x14ac:dyDescent="0.25">
      <c r="A33" s="7" t="s">
        <v>46</v>
      </c>
      <c r="B33" s="7">
        <f>Z1 +Z4 +Z7 +Z12 +Z1</f>
        <v>76</v>
      </c>
      <c r="C33" s="7" t="s">
        <v>47</v>
      </c>
      <c r="D33" s="6">
        <v>1</v>
      </c>
      <c r="E33" s="8">
        <v>4</v>
      </c>
      <c r="F33" s="8">
        <v>7</v>
      </c>
      <c r="G33" s="8">
        <v>12</v>
      </c>
      <c r="H33" s="6">
        <v>1</v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13"/>
    </row>
    <row r="34" spans="1:26" ht="13.2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13"/>
    </row>
    <row r="35" spans="1:26" ht="13.2" x14ac:dyDescent="0.25">
      <c r="A35" s="7" t="s">
        <v>48</v>
      </c>
      <c r="B35" s="7">
        <f>Z2 +Z9</f>
        <v>27</v>
      </c>
      <c r="C35" s="7" t="s">
        <v>47</v>
      </c>
      <c r="D35" s="10">
        <v>2</v>
      </c>
      <c r="E35" s="9" t="s">
        <v>26</v>
      </c>
      <c r="F35" s="9" t="s">
        <v>26</v>
      </c>
      <c r="G35" s="8">
        <v>9</v>
      </c>
      <c r="H35" s="9" t="s">
        <v>26</v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13"/>
    </row>
    <row r="36" spans="1:26" ht="13.2" x14ac:dyDescent="0.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13"/>
    </row>
    <row r="37" spans="1:26" ht="13.2" x14ac:dyDescent="0.25">
      <c r="A37" s="7" t="s">
        <v>49</v>
      </c>
      <c r="B37" s="7">
        <f>Z14 +Z15 +Z12</f>
        <v>7</v>
      </c>
      <c r="C37" s="7" t="s">
        <v>50</v>
      </c>
      <c r="D37" s="9" t="s">
        <v>26</v>
      </c>
      <c r="E37" s="8">
        <v>14</v>
      </c>
      <c r="F37" s="7">
        <v>22</v>
      </c>
      <c r="G37" s="8">
        <v>15</v>
      </c>
      <c r="H37" s="8">
        <v>12</v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13"/>
    </row>
    <row r="38" spans="1:26" ht="13.2" x14ac:dyDescent="0.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 spans="1:26" ht="13.2" x14ac:dyDescent="0.25">
      <c r="A39" s="7" t="s">
        <v>51</v>
      </c>
      <c r="B39" s="7">
        <f>Z10 +Z5 +Z8</f>
        <v>25</v>
      </c>
      <c r="C39" s="7" t="s">
        <v>50</v>
      </c>
      <c r="D39" s="8">
        <v>10</v>
      </c>
      <c r="E39" s="8">
        <v>5</v>
      </c>
      <c r="F39" s="7">
        <v>19</v>
      </c>
      <c r="G39" s="8">
        <v>8</v>
      </c>
      <c r="H39" s="9" t="s">
        <v>26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spans="1:26" ht="13.2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spans="1:26" ht="13.2" x14ac:dyDescent="0.25">
      <c r="A41" s="7" t="s">
        <v>52</v>
      </c>
      <c r="B41" s="7">
        <f>Z15 +Z15 +Z13 +Z13</f>
        <v>8</v>
      </c>
      <c r="C41" s="7" t="s">
        <v>53</v>
      </c>
      <c r="D41" s="8">
        <v>15</v>
      </c>
      <c r="E41" s="8">
        <v>15</v>
      </c>
      <c r="F41" s="8">
        <v>13</v>
      </c>
      <c r="G41" s="7">
        <v>23</v>
      </c>
      <c r="H41" s="8">
        <v>13</v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spans="1:26" ht="13.2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spans="1:26" ht="13.2" x14ac:dyDescent="0.25">
      <c r="A43" s="7" t="s">
        <v>54</v>
      </c>
      <c r="B43" s="7">
        <v>0</v>
      </c>
      <c r="C43" s="7" t="s">
        <v>53</v>
      </c>
      <c r="D43" s="9" t="s">
        <v>26</v>
      </c>
      <c r="E43" s="7">
        <v>16</v>
      </c>
      <c r="F43" s="9" t="s">
        <v>26</v>
      </c>
      <c r="G43" s="9" t="s">
        <v>26</v>
      </c>
      <c r="H43" s="9" t="s">
        <v>26</v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spans="1:26" ht="13.2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spans="1:26" ht="13.2" x14ac:dyDescent="0.25">
      <c r="A45" s="7" t="s">
        <v>55</v>
      </c>
      <c r="B45" s="7">
        <v>0</v>
      </c>
      <c r="C45" s="7" t="s">
        <v>56</v>
      </c>
      <c r="D45" s="7">
        <v>16</v>
      </c>
      <c r="E45" s="9" t="s">
        <v>26</v>
      </c>
      <c r="F45" s="9" t="s">
        <v>26</v>
      </c>
      <c r="G45" s="7">
        <v>22</v>
      </c>
      <c r="H45" s="7">
        <v>17</v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spans="1:26" ht="13.2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 spans="1:26" ht="13.2" x14ac:dyDescent="0.25">
      <c r="A47" s="7" t="s">
        <v>57</v>
      </c>
      <c r="B47" s="7">
        <f>Z15 +Z15</f>
        <v>2</v>
      </c>
      <c r="C47" s="7" t="s">
        <v>56</v>
      </c>
      <c r="D47" s="9" t="s">
        <v>26</v>
      </c>
      <c r="E47" s="7">
        <v>19</v>
      </c>
      <c r="F47" s="8">
        <v>15</v>
      </c>
      <c r="G47" s="9" t="s">
        <v>26</v>
      </c>
      <c r="H47" s="8">
        <v>15</v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 spans="1:26" ht="13.2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 spans="1:25" ht="13.2" x14ac:dyDescent="0.25">
      <c r="A49" s="7" t="s">
        <v>58</v>
      </c>
      <c r="B49" s="7">
        <f>Z7 +Z3 +Z12 +Z14</f>
        <v>31</v>
      </c>
      <c r="C49" s="7" t="s">
        <v>59</v>
      </c>
      <c r="D49" s="8">
        <v>7</v>
      </c>
      <c r="E49" s="11">
        <v>3</v>
      </c>
      <c r="F49" s="8">
        <v>12</v>
      </c>
      <c r="G49" s="9" t="s">
        <v>26</v>
      </c>
      <c r="H49" s="8">
        <v>14</v>
      </c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 spans="1:25" ht="13.2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 spans="1:25" ht="13.2" x14ac:dyDescent="0.25">
      <c r="A51" s="7" t="s">
        <v>60</v>
      </c>
      <c r="B51" s="7">
        <f>Z3 +Z1</f>
        <v>41</v>
      </c>
      <c r="C51" s="7" t="s">
        <v>59</v>
      </c>
      <c r="D51" s="9" t="s">
        <v>26</v>
      </c>
      <c r="E51" s="9" t="s">
        <v>26</v>
      </c>
      <c r="F51" s="11">
        <v>3</v>
      </c>
      <c r="G51" s="6">
        <v>1</v>
      </c>
      <c r="H51" s="7">
        <v>18</v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 spans="1:25" ht="13.2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 spans="1:25" ht="13.2" x14ac:dyDescent="0.25">
      <c r="A53" s="7" t="s">
        <v>61</v>
      </c>
      <c r="B53" s="7">
        <v>0</v>
      </c>
      <c r="C53" s="7" t="s">
        <v>62</v>
      </c>
      <c r="D53" s="7">
        <v>18</v>
      </c>
      <c r="E53" s="9" t="s">
        <v>26</v>
      </c>
      <c r="F53" s="7">
        <v>17</v>
      </c>
      <c r="G53" s="9" t="s">
        <v>26</v>
      </c>
      <c r="H53" s="9" t="s">
        <v>26</v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 spans="1:25" ht="13.2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 spans="1:25" ht="13.2" x14ac:dyDescent="0.25">
      <c r="A55" s="7" t="s">
        <v>63</v>
      </c>
      <c r="B55" s="7">
        <f>Z14</f>
        <v>2</v>
      </c>
      <c r="C55" s="7" t="s">
        <v>62</v>
      </c>
      <c r="D55" s="7">
        <v>17</v>
      </c>
      <c r="E55" s="7">
        <v>18</v>
      </c>
      <c r="F55" s="8">
        <v>14</v>
      </c>
      <c r="G55" s="7">
        <v>20</v>
      </c>
      <c r="H55" s="7">
        <v>16</v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 spans="1:25" ht="13.2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 spans="1:25" ht="13.2" x14ac:dyDescent="0.25">
      <c r="A57" s="7" t="s">
        <v>64</v>
      </c>
      <c r="B57" s="7">
        <f>Z3 +Z7 +Z6 +Z7</f>
        <v>44</v>
      </c>
      <c r="C57" s="7" t="s">
        <v>65</v>
      </c>
      <c r="D57" s="11">
        <v>3</v>
      </c>
      <c r="E57" s="8">
        <v>7</v>
      </c>
      <c r="F57" s="7">
        <v>16</v>
      </c>
      <c r="G57" s="8">
        <v>6</v>
      </c>
      <c r="H57" s="8">
        <v>7</v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 spans="1:25" ht="13.2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 spans="1:25" ht="13.2" x14ac:dyDescent="0.25">
      <c r="A59" s="7" t="s">
        <v>66</v>
      </c>
      <c r="B59" s="7">
        <f>Z5 +Z11 +Z6</f>
        <v>26</v>
      </c>
      <c r="C59" s="7" t="s">
        <v>65</v>
      </c>
      <c r="D59" s="8">
        <v>5</v>
      </c>
      <c r="E59" s="9" t="s">
        <v>26</v>
      </c>
      <c r="F59" s="9" t="s">
        <v>26</v>
      </c>
      <c r="G59" s="8">
        <v>11</v>
      </c>
      <c r="H59" s="8">
        <v>6</v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 spans="1:25" ht="13.2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 spans="1:25" ht="13.2" x14ac:dyDescent="0.25">
      <c r="A61" s="7" t="s">
        <v>67</v>
      </c>
      <c r="B61" s="7">
        <v>0</v>
      </c>
      <c r="C61" s="7" t="s">
        <v>68</v>
      </c>
      <c r="D61" s="7">
        <v>20</v>
      </c>
      <c r="E61" s="9" t="s">
        <v>26</v>
      </c>
      <c r="F61" s="7">
        <v>18</v>
      </c>
      <c r="G61" s="7">
        <v>21</v>
      </c>
      <c r="H61" s="7">
        <v>19</v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 spans="1:25" ht="13.2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 spans="1:25" ht="13.2" x14ac:dyDescent="0.25">
      <c r="A63" s="7" t="s">
        <v>69</v>
      </c>
      <c r="B63" s="7">
        <f>Z12 +Z10 +Z8</f>
        <v>18</v>
      </c>
      <c r="C63" s="7" t="s">
        <v>68</v>
      </c>
      <c r="D63" s="7">
        <v>21</v>
      </c>
      <c r="E63" s="8">
        <v>12</v>
      </c>
      <c r="F63" s="8">
        <v>10</v>
      </c>
      <c r="G63" s="7">
        <v>19</v>
      </c>
      <c r="H63" s="8">
        <v>8</v>
      </c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5" spans="1:24" ht="13.2" x14ac:dyDescent="0.25">
      <c r="A65" s="7" t="s">
        <v>70</v>
      </c>
      <c r="B65" s="7" t="s">
        <v>71</v>
      </c>
      <c r="D65" s="7" t="s">
        <v>72</v>
      </c>
      <c r="E65" s="7" t="s">
        <v>71</v>
      </c>
    </row>
    <row r="66" spans="1:24" ht="13.2" x14ac:dyDescent="0.25">
      <c r="A66" s="7" t="s">
        <v>25</v>
      </c>
      <c r="B66" s="7">
        <f>B5+B7</f>
        <v>23</v>
      </c>
      <c r="D66" s="7" t="s">
        <v>73</v>
      </c>
      <c r="E66" s="7">
        <f>B66+B67+B68+B69+B72+B73+B80+B79+B77+B76+B75</f>
        <v>526</v>
      </c>
      <c r="W66" s="14">
        <v>1</v>
      </c>
      <c r="X66" s="15">
        <v>25</v>
      </c>
    </row>
    <row r="67" spans="1:24" ht="13.2" x14ac:dyDescent="0.25">
      <c r="A67" s="7" t="s">
        <v>29</v>
      </c>
      <c r="B67" s="7">
        <f>B9+B11</f>
        <v>59</v>
      </c>
      <c r="D67" s="7" t="s">
        <v>74</v>
      </c>
      <c r="E67" s="7">
        <f>B71+B70</f>
        <v>170</v>
      </c>
      <c r="W67" s="16">
        <v>2</v>
      </c>
      <c r="X67" s="15">
        <v>20</v>
      </c>
    </row>
    <row r="68" spans="1:24" ht="13.2" x14ac:dyDescent="0.25">
      <c r="A68" s="7" t="s">
        <v>32</v>
      </c>
      <c r="B68" s="7">
        <f>B13+B15</f>
        <v>43</v>
      </c>
      <c r="D68" s="7" t="s">
        <v>75</v>
      </c>
      <c r="E68" s="7">
        <f>B78+B74</f>
        <v>4</v>
      </c>
      <c r="W68" s="17">
        <v>3</v>
      </c>
      <c r="X68" s="15">
        <v>16</v>
      </c>
    </row>
    <row r="69" spans="1:24" ht="13.2" x14ac:dyDescent="0.25">
      <c r="A69" s="7" t="s">
        <v>35</v>
      </c>
      <c r="B69" s="7">
        <f>B17+B19</f>
        <v>98</v>
      </c>
      <c r="W69" s="18">
        <v>4</v>
      </c>
      <c r="X69" s="15">
        <v>13</v>
      </c>
    </row>
    <row r="70" spans="1:24" ht="13.2" x14ac:dyDescent="0.25">
      <c r="A70" s="7" t="s">
        <v>38</v>
      </c>
      <c r="B70" s="7">
        <f>B21+B23</f>
        <v>78</v>
      </c>
      <c r="W70" s="18">
        <v>5</v>
      </c>
      <c r="X70" s="15">
        <v>11</v>
      </c>
    </row>
    <row r="71" spans="1:24" ht="13.2" x14ac:dyDescent="0.25">
      <c r="A71" s="7" t="s">
        <v>41</v>
      </c>
      <c r="B71" s="7">
        <f>B25+B27</f>
        <v>92</v>
      </c>
      <c r="W71" s="18">
        <v>6</v>
      </c>
      <c r="X71" s="15">
        <v>10</v>
      </c>
    </row>
    <row r="72" spans="1:24" ht="13.2" x14ac:dyDescent="0.25">
      <c r="A72" s="7" t="s">
        <v>44</v>
      </c>
      <c r="B72" s="7">
        <f>B29+B31</f>
        <v>0</v>
      </c>
      <c r="W72" s="18">
        <v>7</v>
      </c>
      <c r="X72" s="15">
        <v>9</v>
      </c>
    </row>
    <row r="73" spans="1:24" ht="13.2" x14ac:dyDescent="0.25">
      <c r="A73" s="7" t="s">
        <v>47</v>
      </c>
      <c r="B73" s="7">
        <f>B33+B35</f>
        <v>103</v>
      </c>
      <c r="W73" s="18">
        <v>8</v>
      </c>
      <c r="X73" s="15">
        <v>8</v>
      </c>
    </row>
    <row r="74" spans="1:24" ht="13.2" x14ac:dyDescent="0.25">
      <c r="A74" s="7" t="s">
        <v>56</v>
      </c>
      <c r="B74" s="7">
        <f>B45+B47</f>
        <v>2</v>
      </c>
      <c r="W74" s="18"/>
      <c r="X74" s="15"/>
    </row>
    <row r="75" spans="1:24" ht="13.2" x14ac:dyDescent="0.25">
      <c r="A75" s="7" t="s">
        <v>50</v>
      </c>
      <c r="B75" s="7">
        <f>B37+B39</f>
        <v>32</v>
      </c>
      <c r="W75" s="18">
        <v>9</v>
      </c>
      <c r="X75" s="15">
        <v>7</v>
      </c>
    </row>
    <row r="76" spans="1:24" ht="13.2" x14ac:dyDescent="0.25">
      <c r="A76" s="7" t="s">
        <v>53</v>
      </c>
      <c r="B76" s="7">
        <f>B41+B43</f>
        <v>8</v>
      </c>
      <c r="W76" s="18">
        <v>10</v>
      </c>
      <c r="X76" s="15">
        <v>6</v>
      </c>
    </row>
    <row r="77" spans="1:24" ht="13.2" x14ac:dyDescent="0.25">
      <c r="A77" s="7" t="s">
        <v>59</v>
      </c>
      <c r="B77" s="7">
        <f>B49+B51</f>
        <v>72</v>
      </c>
      <c r="W77" s="18">
        <v>12</v>
      </c>
      <c r="X77" s="15">
        <v>4</v>
      </c>
    </row>
    <row r="78" spans="1:24" ht="13.2" x14ac:dyDescent="0.25">
      <c r="A78" s="7" t="s">
        <v>62</v>
      </c>
      <c r="B78" s="7">
        <f>B53+B55</f>
        <v>2</v>
      </c>
      <c r="W78" s="18">
        <v>13</v>
      </c>
      <c r="X78" s="15">
        <v>3</v>
      </c>
    </row>
    <row r="79" spans="1:24" ht="13.2" x14ac:dyDescent="0.25">
      <c r="A79" s="7" t="s">
        <v>65</v>
      </c>
      <c r="B79" s="7">
        <f>B57+B59</f>
        <v>70</v>
      </c>
      <c r="W79" s="18">
        <v>14</v>
      </c>
      <c r="X79" s="15">
        <v>2</v>
      </c>
    </row>
    <row r="80" spans="1:24" ht="13.2" x14ac:dyDescent="0.25">
      <c r="A80" s="7" t="s">
        <v>68</v>
      </c>
      <c r="B80" s="7">
        <f>B61+B63</f>
        <v>18</v>
      </c>
      <c r="W80" s="18">
        <v>15</v>
      </c>
      <c r="X80" s="15">
        <v>1</v>
      </c>
    </row>
    <row r="81" spans="1:24" ht="13.2" x14ac:dyDescent="0.25">
      <c r="W81" s="19" t="s">
        <v>26</v>
      </c>
      <c r="X81" s="20"/>
    </row>
    <row r="82" spans="1:24" ht="13.2" x14ac:dyDescent="0.25">
      <c r="A82" s="21" t="s">
        <v>76</v>
      </c>
      <c r="B82" s="4" t="s">
        <v>4</v>
      </c>
      <c r="C82" s="22" t="s">
        <v>5</v>
      </c>
      <c r="D82" s="4" t="s">
        <v>6</v>
      </c>
      <c r="E82" s="3" t="s">
        <v>7</v>
      </c>
      <c r="F82" s="3" t="s">
        <v>8</v>
      </c>
      <c r="G82" s="3" t="s">
        <v>9</v>
      </c>
      <c r="H82" s="3" t="s">
        <v>10</v>
      </c>
      <c r="I82" s="3" t="s">
        <v>11</v>
      </c>
      <c r="J82" s="3" t="s">
        <v>12</v>
      </c>
      <c r="K82" s="3" t="s">
        <v>13</v>
      </c>
      <c r="L82" s="4" t="s">
        <v>14</v>
      </c>
      <c r="M82" s="33" t="s">
        <v>93</v>
      </c>
      <c r="N82" s="4" t="s">
        <v>15</v>
      </c>
      <c r="O82" s="4" t="s">
        <v>16</v>
      </c>
      <c r="P82" s="4" t="s">
        <v>17</v>
      </c>
      <c r="Q82" s="4" t="s">
        <v>18</v>
      </c>
      <c r="R82" s="4" t="s">
        <v>19</v>
      </c>
      <c r="S82" s="4" t="s">
        <v>20</v>
      </c>
      <c r="T82" s="4" t="s">
        <v>21</v>
      </c>
      <c r="U82" s="4" t="s">
        <v>22</v>
      </c>
      <c r="V82" s="4" t="s">
        <v>23</v>
      </c>
      <c r="W82" s="4" t="s">
        <v>5</v>
      </c>
    </row>
    <row r="83" spans="1:24" ht="13.2" x14ac:dyDescent="0.25">
      <c r="A83" s="23" t="s">
        <v>77</v>
      </c>
      <c r="B83" s="23" t="s">
        <v>78</v>
      </c>
      <c r="C83" s="24" t="s">
        <v>79</v>
      </c>
      <c r="D83" s="24" t="s">
        <v>80</v>
      </c>
      <c r="E83" s="24" t="s">
        <v>81</v>
      </c>
      <c r="F83" s="24" t="s">
        <v>82</v>
      </c>
      <c r="W83" s="23"/>
    </row>
    <row r="84" spans="1:24" ht="13.2" x14ac:dyDescent="0.25">
      <c r="A84" s="23"/>
      <c r="B84" s="23"/>
      <c r="W84" s="23"/>
    </row>
    <row r="85" spans="1:24" ht="13.2" x14ac:dyDescent="0.25">
      <c r="A85" s="23" t="s">
        <v>46</v>
      </c>
      <c r="B85" s="23" t="s">
        <v>83</v>
      </c>
      <c r="C85" s="24" t="s">
        <v>84</v>
      </c>
      <c r="D85" s="24" t="s">
        <v>85</v>
      </c>
      <c r="E85" s="24" t="s">
        <v>86</v>
      </c>
      <c r="F85" s="24" t="s">
        <v>92</v>
      </c>
      <c r="W85" s="23"/>
    </row>
    <row r="86" spans="1:24" ht="13.2" x14ac:dyDescent="0.25">
      <c r="A86" s="23"/>
      <c r="B86" s="23"/>
      <c r="W86" s="23"/>
    </row>
    <row r="87" spans="1:24" ht="13.2" x14ac:dyDescent="0.25">
      <c r="A87" s="25" t="s">
        <v>28</v>
      </c>
      <c r="B87" s="25" t="s">
        <v>87</v>
      </c>
      <c r="C87" s="26" t="s">
        <v>88</v>
      </c>
      <c r="D87" s="26" t="s">
        <v>89</v>
      </c>
      <c r="E87" s="26" t="s">
        <v>90</v>
      </c>
      <c r="F87" s="26" t="s">
        <v>91</v>
      </c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5"/>
    </row>
  </sheetData>
  <mergeCells count="1">
    <mergeCell ref="A1:Y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Manuel Bonelli</cp:lastModifiedBy>
  <dcterms:modified xsi:type="dcterms:W3CDTF">2025-11-08T22:44:31Z</dcterms:modified>
</cp:coreProperties>
</file>