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<sst xmlns="http://schemas.openxmlformats.org/spreadsheetml/2006/main" count="162" uniqueCount="86">
  <si>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</si>
  <si>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</si>
  <si>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</si>
  <si>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</si>
  <si>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</si>
  <si>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</si>
  <si>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</si>
  <si>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</si>
  <si>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</si>
  <si>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</si>
  <si>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</si>
  <si>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</si>
  <si>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</si>
  <si>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</si>
  <si>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</si>
  <si>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KAZAKHISTAN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</si>
  <si>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</si>
  <si>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</si>
  <si>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</si>
  <si>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</si>
  <si>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</si>
  <si>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</si>
  <si>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</si>
  <si>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</si>
  <si>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</si>
  <si>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</si>
  <si>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</si>
  <si>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Xavier Cardalus</t>
  </si>
  <si>
    <t>RIT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</si>
  <si>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</si>
  <si>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</si>
  <si>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</si>
  <si>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</si>
  <si>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</si>
  <si>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</si>
  <si>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</si>
  <si>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</si>
  <si>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</si>
  <si>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</si>
  <si>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</si>
  <si>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</si>
  <si>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</si>
  <si>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</si>
  <si>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</si>
  <si>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</si>
  <si>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</si>
  <si>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</si>
  <si>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</si>
  <si>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</si>
  <si>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</si>
  <si>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</si>
  <si>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</si>
  <si>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</si>
  <si>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</si>
  <si>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</si>
  <si>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</si>
  <si>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</si>
  <si>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</si>
  <si>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</si>
  <si>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</si>
  <si>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</si>
  <si>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</si>
  <si>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</si>
  <si>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</si>
  <si>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</si>
  <si>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</si>
  <si>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</si>
  <si>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</si>
  <si>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</si>
  <si>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</si>
  <si>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</si>
  <si>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</si>
  <si>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</si>
  <si>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</si>
  <si>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</si>
  <si>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</si>
  <si>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</si>
  <si>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</si>
  <si>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Kazakhstan</t>
  </si>
  <si>
    <t>POLE POSITION</t>
  </si>
  <si>
    <t>1:33.839</t>
  </si>
  <si>
    <t>1:32.302, Vietti</t>
  </si>
  <si>
    <t>1:33.839, pole</t>
  </si>
  <si>
    <t>1:34.402, 15esimo</t>
  </si>
  <si>
    <t>1:34.373, 2</t>
  </si>
  <si>
    <t>1:34.006, 14esimo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</si>
</sst>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  <fill>
      <patternFill patternType="solid">
        <fgColor rgb="FF674EA7"/>
        <bgColor rgb="FF674EA7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5" fontId="4" numFmtId="0" xfId="0" applyAlignment="1" applyFill="1" applyFont="1">
      <alignment horizontal="center" vertical="bottom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0" fontId="3" numFmtId="0" xfId="0" applyAlignment="1" applyFont="1">
      <alignment vertical="bottom"/>
    </xf>
    <xf borderId="0" fillId="2" fontId="4" numFmtId="0" xfId="0" applyAlignment="1" applyFont="1">
      <alignment horizontal="center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8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8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10" max="10" width="15.7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</f>
        <v>8</v>
      </c>
      <c r="C5" s="12" t="s">
        <v>26</v>
      </c>
      <c r="D5" s="13">
        <v>13.0</v>
      </c>
      <c r="E5" s="13">
        <v>11.0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3">
        <v>11.0</v>
      </c>
      <c r="AA5" s="15">
        <v>2.0</v>
      </c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3">
        <v>10.0</v>
      </c>
      <c r="AA6" s="16">
        <v>3.0</v>
      </c>
    </row>
    <row r="7">
      <c r="A7" s="12" t="s">
        <v>27</v>
      </c>
      <c r="B7" s="12">
        <v>0.0</v>
      </c>
      <c r="C7" s="12" t="s">
        <v>26</v>
      </c>
      <c r="D7" s="17" t="s">
        <v>28</v>
      </c>
      <c r="E7" s="17" t="s">
        <v>28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3">
        <v>9.0</v>
      </c>
      <c r="AA7" s="13">
        <v>4.0</v>
      </c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3">
        <v>8.0</v>
      </c>
      <c r="AA8" s="13">
        <v>5.0</v>
      </c>
    </row>
    <row r="9">
      <c r="A9" s="12" t="s">
        <v>29</v>
      </c>
      <c r="B9" s="12">
        <f> Z4 +Z10</f>
        <v>19</v>
      </c>
      <c r="C9" s="12" t="s">
        <v>30</v>
      </c>
      <c r="D9" s="13">
        <v>4.0</v>
      </c>
      <c r="E9" s="13">
        <v>10.0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3">
        <v>7.0</v>
      </c>
      <c r="AA9" s="13">
        <v>6.0</v>
      </c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3">
        <v>6.0</v>
      </c>
      <c r="AA10" s="13">
        <v>7.0</v>
      </c>
    </row>
    <row r="11">
      <c r="A11" s="12" t="s">
        <v>31</v>
      </c>
      <c r="B11" s="12">
        <f>Z13</f>
        <v>3</v>
      </c>
      <c r="C11" s="12" t="s">
        <v>30</v>
      </c>
      <c r="D11" s="17" t="s">
        <v>28</v>
      </c>
      <c r="E11" s="13">
        <v>13.0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3">
        <v>5.0</v>
      </c>
      <c r="AA11" s="13">
        <v>8.0</v>
      </c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3">
        <v>4.0</v>
      </c>
      <c r="AA12" s="13">
        <v>9.0</v>
      </c>
    </row>
    <row r="13">
      <c r="A13" s="12" t="s">
        <v>32</v>
      </c>
      <c r="B13" s="12">
        <f>Z14 +Z8</f>
        <v>10</v>
      </c>
      <c r="C13" s="12" t="s">
        <v>33</v>
      </c>
      <c r="D13" s="13">
        <v>14.0</v>
      </c>
      <c r="E13" s="13">
        <v>8.0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3">
        <v>3.0</v>
      </c>
      <c r="AA13" s="13">
        <v>10.0</v>
      </c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3">
        <v>2.0</v>
      </c>
      <c r="AA14" s="13">
        <v>11.0</v>
      </c>
    </row>
    <row r="15">
      <c r="A15" s="12" t="s">
        <v>34</v>
      </c>
      <c r="B15" s="12">
        <f> Z6</f>
        <v>10</v>
      </c>
      <c r="C15" s="12" t="s">
        <v>33</v>
      </c>
      <c r="D15" s="13">
        <v>6.0</v>
      </c>
      <c r="E15" s="17" t="s">
        <v>28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3">
        <v>1.0</v>
      </c>
      <c r="AA15" s="13">
        <v>12.0</v>
      </c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8"/>
      <c r="AA16" s="13">
        <v>13.0</v>
      </c>
    </row>
    <row r="17">
      <c r="A17" s="12" t="s">
        <v>35</v>
      </c>
      <c r="B17" s="12">
        <f>Z12</f>
        <v>4</v>
      </c>
      <c r="C17" s="12" t="s">
        <v>36</v>
      </c>
      <c r="D17" s="13">
        <v>12.0</v>
      </c>
      <c r="E17" s="17" t="s">
        <v>28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AA17" s="13">
        <v>14.0</v>
      </c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AA18" s="13">
        <v>15.0</v>
      </c>
    </row>
    <row r="19">
      <c r="A19" s="12" t="s">
        <v>37</v>
      </c>
      <c r="B19" s="12">
        <f> Z8 + Z2</f>
        <v>28</v>
      </c>
      <c r="C19" s="12" t="s">
        <v>36</v>
      </c>
      <c r="D19" s="13">
        <v>8.0</v>
      </c>
      <c r="E19" s="15">
        <v>2.0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AA19" s="17" t="s">
        <v>28</v>
      </c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>
      <c r="A21" s="12" t="s">
        <v>38</v>
      </c>
      <c r="B21" s="12">
        <v>0.0</v>
      </c>
      <c r="C21" s="12" t="s">
        <v>39</v>
      </c>
      <c r="D21" s="17" t="s">
        <v>28</v>
      </c>
      <c r="E21" s="17" t="s">
        <v>28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9"/>
    </row>
    <row r="23">
      <c r="A23" s="12" t="s">
        <v>40</v>
      </c>
      <c r="B23" s="12">
        <f>Z9</f>
        <v>7</v>
      </c>
      <c r="C23" s="12" t="s">
        <v>39</v>
      </c>
      <c r="D23" s="17" t="s">
        <v>28</v>
      </c>
      <c r="E23" s="13">
        <v>9.0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9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9"/>
    </row>
    <row r="25">
      <c r="A25" s="12" t="s">
        <v>41</v>
      </c>
      <c r="B25" s="12">
        <f> Z9 + Z1</f>
        <v>32</v>
      </c>
      <c r="C25" s="12" t="s">
        <v>42</v>
      </c>
      <c r="D25" s="13">
        <v>9.0</v>
      </c>
      <c r="E25" s="11">
        <v>1.0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9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9"/>
    </row>
    <row r="27">
      <c r="A27" s="12" t="s">
        <v>43</v>
      </c>
      <c r="B27" s="12">
        <f>Z11 +Z6</f>
        <v>15</v>
      </c>
      <c r="C27" s="12" t="s">
        <v>42</v>
      </c>
      <c r="D27" s="13">
        <v>11.0</v>
      </c>
      <c r="E27" s="13">
        <v>6.0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9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9"/>
    </row>
    <row r="29">
      <c r="A29" s="12" t="s">
        <v>44</v>
      </c>
      <c r="B29" s="12">
        <v>0.0</v>
      </c>
      <c r="C29" s="12" t="s">
        <v>45</v>
      </c>
      <c r="D29" s="17" t="s">
        <v>28</v>
      </c>
      <c r="E29" s="17" t="s">
        <v>28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9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9"/>
    </row>
    <row r="31">
      <c r="A31" s="12" t="s">
        <v>46</v>
      </c>
      <c r="B31" s="12">
        <v>0.0</v>
      </c>
      <c r="C31" s="12" t="s">
        <v>45</v>
      </c>
      <c r="D31" s="12">
        <v>19.0</v>
      </c>
      <c r="E31" s="12">
        <v>17.0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9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9"/>
    </row>
    <row r="33">
      <c r="A33" s="12" t="s">
        <v>47</v>
      </c>
      <c r="B33" s="12">
        <f> Z1 +Z4</f>
        <v>38</v>
      </c>
      <c r="C33" s="12" t="s">
        <v>48</v>
      </c>
      <c r="D33" s="11">
        <v>1.0</v>
      </c>
      <c r="E33" s="13">
        <v>4.0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9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9"/>
    </row>
    <row r="35">
      <c r="A35" s="12" t="s">
        <v>49</v>
      </c>
      <c r="B35" s="12">
        <f> Z2</f>
        <v>20</v>
      </c>
      <c r="C35" s="12" t="s">
        <v>48</v>
      </c>
      <c r="D35" s="15">
        <v>2.0</v>
      </c>
      <c r="E35" s="17" t="s">
        <v>28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9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9"/>
    </row>
    <row r="37">
      <c r="A37" s="12" t="s">
        <v>50</v>
      </c>
      <c r="B37" s="12">
        <f>Z14</f>
        <v>2</v>
      </c>
      <c r="C37" s="12" t="s">
        <v>51</v>
      </c>
      <c r="D37" s="17" t="s">
        <v>28</v>
      </c>
      <c r="E37" s="13">
        <v>14.0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9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>
      <c r="A39" s="12" t="s">
        <v>52</v>
      </c>
      <c r="B39" s="12">
        <f> Z10 +Z5</f>
        <v>17</v>
      </c>
      <c r="C39" s="12" t="s">
        <v>51</v>
      </c>
      <c r="D39" s="13">
        <v>10.0</v>
      </c>
      <c r="E39" s="13">
        <v>5.0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>
      <c r="A41" s="12" t="s">
        <v>53</v>
      </c>
      <c r="B41" s="12">
        <f>Z15 +Z15</f>
        <v>2</v>
      </c>
      <c r="C41" s="12" t="s">
        <v>54</v>
      </c>
      <c r="D41" s="13">
        <v>15.0</v>
      </c>
      <c r="E41" s="13">
        <v>15.0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>
      <c r="A43" s="12" t="s">
        <v>55</v>
      </c>
      <c r="B43" s="12">
        <v>0.0</v>
      </c>
      <c r="C43" s="12" t="s">
        <v>54</v>
      </c>
      <c r="D43" s="17" t="s">
        <v>28</v>
      </c>
      <c r="E43" s="12">
        <v>16.0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>
      <c r="A45" s="12" t="s">
        <v>56</v>
      </c>
      <c r="B45" s="12">
        <v>0.0</v>
      </c>
      <c r="C45" s="12" t="s">
        <v>57</v>
      </c>
      <c r="D45" s="12">
        <v>16.0</v>
      </c>
      <c r="E45" s="17" t="s">
        <v>28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>
      <c r="A47" s="12" t="s">
        <v>58</v>
      </c>
      <c r="B47" s="12">
        <v>0.0</v>
      </c>
      <c r="C47" s="12" t="s">
        <v>57</v>
      </c>
      <c r="D47" s="17" t="s">
        <v>28</v>
      </c>
      <c r="E47" s="12">
        <v>19.0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>
      <c r="A49" s="12" t="s">
        <v>59</v>
      </c>
      <c r="B49" s="12">
        <f> Z7 +Z3</f>
        <v>25</v>
      </c>
      <c r="C49" s="12" t="s">
        <v>60</v>
      </c>
      <c r="D49" s="13">
        <v>7.0</v>
      </c>
      <c r="E49" s="16">
        <v>3.0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>
      <c r="A51" s="12" t="s">
        <v>61</v>
      </c>
      <c r="B51" s="12">
        <v>0.0</v>
      </c>
      <c r="C51" s="12" t="s">
        <v>60</v>
      </c>
      <c r="D51" s="17" t="s">
        <v>28</v>
      </c>
      <c r="E51" s="17" t="s">
        <v>28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7" t="s">
        <v>28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>
      <c r="A55" s="12" t="s">
        <v>64</v>
      </c>
      <c r="B55" s="12">
        <v>0.0</v>
      </c>
      <c r="C55" s="12" t="s">
        <v>63</v>
      </c>
      <c r="D55" s="12">
        <v>17.0</v>
      </c>
      <c r="E55" s="12">
        <v>18.0</v>
      </c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>
      <c r="A57" s="12" t="s">
        <v>65</v>
      </c>
      <c r="B57" s="12">
        <f> Z3 +Z7</f>
        <v>25</v>
      </c>
      <c r="C57" s="12" t="s">
        <v>66</v>
      </c>
      <c r="D57" s="16">
        <v>3.0</v>
      </c>
      <c r="E57" s="13">
        <v>7.0</v>
      </c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>
      <c r="A59" s="12" t="s">
        <v>67</v>
      </c>
      <c r="B59" s="12">
        <f> Z5</f>
        <v>11</v>
      </c>
      <c r="C59" s="12" t="s">
        <v>66</v>
      </c>
      <c r="D59" s="13">
        <v>5.0</v>
      </c>
      <c r="E59" s="17" t="s">
        <v>28</v>
      </c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>
      <c r="A61" s="12" t="s">
        <v>68</v>
      </c>
      <c r="B61" s="12">
        <v>0.0</v>
      </c>
      <c r="C61" s="12" t="s">
        <v>69</v>
      </c>
      <c r="D61" s="12">
        <v>20.0</v>
      </c>
      <c r="E61" s="17" t="s">
        <v>28</v>
      </c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>
      <c r="A63" s="12" t="s">
        <v>70</v>
      </c>
      <c r="B63" s="12">
        <f>Z12</f>
        <v>4</v>
      </c>
      <c r="C63" s="12" t="s">
        <v>69</v>
      </c>
      <c r="D63" s="12">
        <v>21.0</v>
      </c>
      <c r="E63" s="13">
        <v>12.0</v>
      </c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8</v>
      </c>
      <c r="D66" s="12" t="s">
        <v>74</v>
      </c>
      <c r="E66" s="12">
        <f> B66+B67+B68+B69+B72+B73+B80+B79+B77+B76+B75</f>
        <v>226</v>
      </c>
      <c r="W66" s="20">
        <v>1.0</v>
      </c>
      <c r="X66" s="21">
        <v>25.0</v>
      </c>
    </row>
    <row r="67">
      <c r="A67" s="12" t="s">
        <v>30</v>
      </c>
      <c r="B67" s="12">
        <f> B9+B11</f>
        <v>22</v>
      </c>
      <c r="D67" s="12" t="s">
        <v>75</v>
      </c>
      <c r="E67" s="12">
        <f> B71+B70</f>
        <v>54</v>
      </c>
      <c r="W67" s="22">
        <v>2.0</v>
      </c>
      <c r="X67" s="21">
        <v>20.0</v>
      </c>
    </row>
    <row r="68">
      <c r="A68" s="12" t="s">
        <v>33</v>
      </c>
      <c r="B68" s="12">
        <f> B13+B15</f>
        <v>20</v>
      </c>
      <c r="D68" s="12" t="s">
        <v>76</v>
      </c>
      <c r="E68" s="12">
        <f> B78+B74</f>
        <v>0</v>
      </c>
      <c r="W68" s="23">
        <v>3.0</v>
      </c>
      <c r="X68" s="21">
        <v>16.0</v>
      </c>
    </row>
    <row r="69">
      <c r="A69" s="12" t="s">
        <v>36</v>
      </c>
      <c r="B69" s="12">
        <f>B17+B19</f>
        <v>32</v>
      </c>
      <c r="W69" s="24">
        <v>4.0</v>
      </c>
      <c r="X69" s="21">
        <v>13.0</v>
      </c>
    </row>
    <row r="70">
      <c r="A70" s="12" t="s">
        <v>39</v>
      </c>
      <c r="B70" s="12">
        <f> B21+B23</f>
        <v>7</v>
      </c>
      <c r="W70" s="24">
        <v>5.0</v>
      </c>
      <c r="X70" s="21">
        <v>11.0</v>
      </c>
    </row>
    <row r="71">
      <c r="A71" s="12" t="s">
        <v>42</v>
      </c>
      <c r="B71" s="12">
        <f> B25+B27</f>
        <v>47</v>
      </c>
      <c r="W71" s="24">
        <v>6.0</v>
      </c>
      <c r="X71" s="21">
        <v>10.0</v>
      </c>
    </row>
    <row r="72">
      <c r="A72" s="12" t="s">
        <v>45</v>
      </c>
      <c r="B72" s="12">
        <f> B29+B31</f>
        <v>0</v>
      </c>
      <c r="W72" s="24">
        <v>7.0</v>
      </c>
      <c r="X72" s="21">
        <v>9.0</v>
      </c>
    </row>
    <row r="73">
      <c r="A73" s="12" t="s">
        <v>48</v>
      </c>
      <c r="B73" s="12">
        <f>B33+B35</f>
        <v>58</v>
      </c>
      <c r="W73" s="24">
        <v>8.0</v>
      </c>
      <c r="X73" s="21">
        <v>8.0</v>
      </c>
    </row>
    <row r="74">
      <c r="A74" s="12" t="s">
        <v>57</v>
      </c>
      <c r="B74" s="12">
        <f> B45+B47</f>
        <v>0</v>
      </c>
      <c r="W74" s="24"/>
      <c r="X74" s="21"/>
    </row>
    <row r="75">
      <c r="A75" s="12" t="s">
        <v>51</v>
      </c>
      <c r="B75" s="12">
        <f> B37+B39</f>
        <v>19</v>
      </c>
      <c r="W75" s="24">
        <v>9.0</v>
      </c>
      <c r="X75" s="21">
        <v>7.0</v>
      </c>
    </row>
    <row r="76">
      <c r="A76" s="12" t="s">
        <v>54</v>
      </c>
      <c r="B76" s="12">
        <f>B41+B43</f>
        <v>2</v>
      </c>
      <c r="W76" s="24">
        <v>10.0</v>
      </c>
      <c r="X76" s="21">
        <v>6.0</v>
      </c>
    </row>
    <row r="77">
      <c r="A77" s="12" t="s">
        <v>60</v>
      </c>
      <c r="B77" s="12">
        <f> B49+B51</f>
        <v>25</v>
      </c>
      <c r="W77" s="24">
        <v>12.0</v>
      </c>
      <c r="X77" s="21">
        <v>4.0</v>
      </c>
    </row>
    <row r="78">
      <c r="A78" s="12" t="s">
        <v>63</v>
      </c>
      <c r="B78" s="12">
        <f> B53+B55</f>
        <v>0</v>
      </c>
      <c r="W78" s="24">
        <v>13.0</v>
      </c>
      <c r="X78" s="21">
        <v>3.0</v>
      </c>
    </row>
    <row r="79">
      <c r="A79" s="12" t="s">
        <v>66</v>
      </c>
      <c r="B79" s="12">
        <f> B57+B59</f>
        <v>36</v>
      </c>
      <c r="W79" s="24">
        <v>14.0</v>
      </c>
      <c r="X79" s="21">
        <v>2.0</v>
      </c>
    </row>
    <row r="80">
      <c r="A80" s="12" t="s">
        <v>69</v>
      </c>
      <c r="B80" s="12">
        <f> B61+B63</f>
        <v>4</v>
      </c>
      <c r="W80" s="24">
        <v>15.0</v>
      </c>
      <c r="X80" s="21">
        <v>1.0</v>
      </c>
    </row>
    <row r="81">
      <c r="W81" s="25" t="s">
        <v>28</v>
      </c>
      <c r="X81" s="26"/>
    </row>
    <row r="82">
      <c r="A82" s="27" t="s">
        <v>77</v>
      </c>
      <c r="B82" s="9" t="s">
        <v>4</v>
      </c>
      <c r="C82" s="28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78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29" t="s">
        <v>79</v>
      </c>
      <c r="B83" s="29" t="s">
        <v>80</v>
      </c>
      <c r="C83" s="30" t="s">
        <v>81</v>
      </c>
      <c r="W83" s="31"/>
    </row>
    <row r="84">
      <c r="A84" s="31"/>
      <c r="B84" s="31"/>
      <c r="W84" s="31"/>
    </row>
    <row r="85">
      <c r="A85" s="29" t="s">
        <v>47</v>
      </c>
      <c r="B85" s="29" t="s">
        <v>82</v>
      </c>
      <c r="C85" s="30" t="s">
        <v>83</v>
      </c>
      <c r="W85" s="31"/>
    </row>
    <row r="86">
      <c r="A86" s="31"/>
      <c r="B86" s="31"/>
      <c r="W86" s="31"/>
    </row>
    <row r="87">
      <c r="A87" s="32" t="s">
        <v>29</v>
      </c>
      <c r="B87" s="32" t="s">
        <v>84</v>
      </c>
      <c r="C87" s="33" t="s">
        <v>85</v>
      </c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5"/>
    </row>
  </sheetData>
  <mergeCells count="1">
    <mergeCell ref="A1:Y3"/>
  </mergeCells>
  <drawing r:id="rId1"/>
</worksheet>
</file>