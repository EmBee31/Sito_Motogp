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<sst xmlns="http://schemas.openxmlformats.org/spreadsheetml/2006/main" count="321" uniqueCount="213">
  <si>
    <t>STAGIONE 2026: MOTOGP</t>
  </si>
  <si>
    <t>PILOTA</t>
  </si>
  <si>
    <t>PUNTI</t>
  </si>
  <si>
    <t>SCUDERIA</t>
  </si>
  <si>
    <t>THAILANDIA</t>
  </si>
  <si>
    <t>TERMAS</t>
  </si>
  <si>
    <t>USA</t>
  </si>
  <si>
    <t>QATAR</t>
  </si>
  <si>
    <t>SPAGNA</t>
  </si>
  <si>
    <t>FRANCIA</t>
  </si>
  <si>
    <t>CATALOGNA</t>
  </si>
  <si>
    <t>ITALIA</t>
  </si>
  <si>
    <t>KAZAKHSTAN</t>
  </si>
  <si>
    <t>BRNO</t>
  </si>
  <si>
    <t>OLANDA</t>
  </si>
  <si>
    <t>GERMANIA</t>
  </si>
  <si>
    <t>GRAN BRETAGNA</t>
  </si>
  <si>
    <t>ARAGON</t>
  </si>
  <si>
    <t>MISANO</t>
  </si>
  <si>
    <t>AUSTRIA</t>
  </si>
  <si>
    <t>GIAPPONE</t>
  </si>
  <si>
    <t>INDONESIA</t>
  </si>
  <si>
    <t>AUSTRALIA</t>
  </si>
  <si>
    <t>MALESIA</t>
  </si>
  <si>
    <t>PORTOGALLO</t>
  </si>
  <si>
    <t>VALENCIA</t>
  </si>
  <si>
    <t>Marc Marquez</t>
  </si>
  <si>
    <t>Ducati Lenovo</t>
  </si>
  <si>
    <t>2¹</t>
  </si>
  <si>
    <t>6¹</t>
  </si>
  <si>
    <t>1ᴿᴵᵀ</t>
  </si>
  <si>
    <t>1²</t>
  </si>
  <si>
    <t>2³</t>
  </si>
  <si>
    <t>2²</t>
  </si>
  <si>
    <t>14ᴿᴵᵀ</t>
  </si>
  <si>
    <t>1³</t>
  </si>
  <si>
    <t>Francesco Bagnaia</t>
  </si>
  <si>
    <t>RIT²</t>
  </si>
  <si>
    <t>5⁸</t>
  </si>
  <si>
    <t>1¹</t>
  </si>
  <si>
    <t>12¹⁵</t>
  </si>
  <si>
    <t>RITᴿᴵᵀ</t>
  </si>
  <si>
    <t>Alex Marquez</t>
  </si>
  <si>
    <t>Ducati Gresini</t>
  </si>
  <si>
    <t>RIT⁵</t>
  </si>
  <si>
    <t>9¹⁴</t>
  </si>
  <si>
    <t>5¹¹</t>
  </si>
  <si>
    <t>6¹²</t>
  </si>
  <si>
    <t>12¹²</t>
  </si>
  <si>
    <t>15¹⁸</t>
  </si>
  <si>
    <t>14¹⁷</t>
  </si>
  <si>
    <t>Manuel Bonelli</t>
  </si>
  <si>
    <t>RIT¹</t>
  </si>
  <si>
    <t>Fabio Di Gianantonio</t>
  </si>
  <si>
    <t>Ducati VR46</t>
  </si>
  <si>
    <t>RIT¹³</t>
  </si>
  <si>
    <t>7⁵</t>
  </si>
  <si>
    <t>15⁵</t>
  </si>
  <si>
    <t>13⁵</t>
  </si>
  <si>
    <t>19¹⁷</t>
  </si>
  <si>
    <t>8⁷</t>
  </si>
  <si>
    <t>4⁵</t>
  </si>
  <si>
    <t>15¹⁹</t>
  </si>
  <si>
    <t>Franco Morbidelli</t>
  </si>
  <si>
    <t>11⁶</t>
  </si>
  <si>
    <t>13³</t>
  </si>
  <si>
    <t>8²</t>
  </si>
  <si>
    <t>8¹⁵</t>
  </si>
  <si>
    <t>3¹¹</t>
  </si>
  <si>
    <t>10⁹</t>
  </si>
  <si>
    <t>16¹⁷</t>
  </si>
  <si>
    <t>7¹⁰</t>
  </si>
  <si>
    <t>RIT</t>
  </si>
  <si>
    <t>Jorge Martin</t>
  </si>
  <si>
    <t>Aprilia Racing</t>
  </si>
  <si>
    <t>10²</t>
  </si>
  <si>
    <t>4⁶</t>
  </si>
  <si>
    <t>4¹</t>
  </si>
  <si>
    <t>3⁸</t>
  </si>
  <si>
    <t>2⁶</t>
  </si>
  <si>
    <t>Marco Bezzecchi</t>
  </si>
  <si>
    <t>19ᴿᴵᵀ</t>
  </si>
  <si>
    <t>5⁶</t>
  </si>
  <si>
    <t>2¹⁰</t>
  </si>
  <si>
    <t>2⁸</t>
  </si>
  <si>
    <t>7¹³</t>
  </si>
  <si>
    <t>7⁴</t>
  </si>
  <si>
    <t>18ᴿᴵᵀ</t>
  </si>
  <si>
    <t>Lorenzo Gabrielli</t>
  </si>
  <si>
    <t>Aprilia Trackhouse</t>
  </si>
  <si>
    <t>RIT¹⁷</t>
  </si>
  <si>
    <t>16ᴿᴵᵀ</t>
  </si>
  <si>
    <t>20ᴿᴵᵀ</t>
  </si>
  <si>
    <t>16¹⁵</t>
  </si>
  <si>
    <t>16¹⁸</t>
  </si>
  <si>
    <t>Ai Ogura</t>
  </si>
  <si>
    <t>6ᴿᴵᵀ</t>
  </si>
  <si>
    <t>14¹⁰</t>
  </si>
  <si>
    <t>16¹¹</t>
  </si>
  <si>
    <t>17¹⁸</t>
  </si>
  <si>
    <t>5⁵</t>
  </si>
  <si>
    <t>5¹³</t>
  </si>
  <si>
    <t>Pedro Acosta</t>
  </si>
  <si>
    <t>KTM Factory</t>
  </si>
  <si>
    <t>RIT⁴</t>
  </si>
  <si>
    <t>15¹¹</t>
  </si>
  <si>
    <t>7¹²</t>
  </si>
  <si>
    <t>5¹⁰</t>
  </si>
  <si>
    <t>RIT³</t>
  </si>
  <si>
    <t>17ᴿᴵᵀ</t>
  </si>
  <si>
    <t>Brad Binder</t>
  </si>
  <si>
    <t>15⁹</t>
  </si>
  <si>
    <t>3⁹</t>
  </si>
  <si>
    <t>12⁹</t>
  </si>
  <si>
    <t>7⁷</t>
  </si>
  <si>
    <t>13²</t>
  </si>
  <si>
    <t>13¹³</t>
  </si>
  <si>
    <t>11⁹</t>
  </si>
  <si>
    <t>3²</t>
  </si>
  <si>
    <t>Maverick Viñales</t>
  </si>
  <si>
    <t>KTM Tech 3</t>
  </si>
  <si>
    <t>4⁴</t>
  </si>
  <si>
    <t>16⁷</t>
  </si>
  <si>
    <t>10¹⁴</t>
  </si>
  <si>
    <t>7¹</t>
  </si>
  <si>
    <t>6¹⁴</t>
  </si>
  <si>
    <t>Enea Bastianini</t>
  </si>
  <si>
    <t>10⁸</t>
  </si>
  <si>
    <t>12⁸</t>
  </si>
  <si>
    <t>17¹⁶</t>
  </si>
  <si>
    <t>17¹²</t>
  </si>
  <si>
    <t>9⁵</t>
  </si>
  <si>
    <t>2⁴</t>
  </si>
  <si>
    <t>8ᴿᴵᵀ</t>
  </si>
  <si>
    <t>Fabio Quartararo</t>
  </si>
  <si>
    <t>Yamaha Factory</t>
  </si>
  <si>
    <t>3⁷</t>
  </si>
  <si>
    <t>14⁴</t>
  </si>
  <si>
    <t>12¹⁰</t>
  </si>
  <si>
    <t>14⁶</t>
  </si>
  <si>
    <t>Alex Rins</t>
  </si>
  <si>
    <t>4¹²</t>
  </si>
  <si>
    <t>11¹²</t>
  </si>
  <si>
    <t>6³</t>
  </si>
  <si>
    <t>3¹³</t>
  </si>
  <si>
    <t>15⁷</t>
  </si>
  <si>
    <t>13¹⁶</t>
  </si>
  <si>
    <t>Jack Miller</t>
  </si>
  <si>
    <t>Pramac Yamaha</t>
  </si>
  <si>
    <t>10¹³</t>
  </si>
  <si>
    <t>15¹⁰</t>
  </si>
  <si>
    <t>4¹⁰</t>
  </si>
  <si>
    <t>19¹⁸</t>
  </si>
  <si>
    <t>Miguel Oliveira</t>
  </si>
  <si>
    <t>2⁷</t>
  </si>
  <si>
    <t>13¹</t>
  </si>
  <si>
    <t>4³</t>
  </si>
  <si>
    <t>8⁸</t>
  </si>
  <si>
    <t>Luca Marini</t>
  </si>
  <si>
    <t>Honda HRC</t>
  </si>
  <si>
    <t>18¹⁸</t>
  </si>
  <si>
    <t>14⁹</t>
  </si>
  <si>
    <t>6¹³</t>
  </si>
  <si>
    <t>11¹¹</t>
  </si>
  <si>
    <t>Joan Mir</t>
  </si>
  <si>
    <t>12²⁰</t>
  </si>
  <si>
    <t>11¹⁵</t>
  </si>
  <si>
    <t>11ᴿᴵᵀ</t>
  </si>
  <si>
    <t>18¹⁶</t>
  </si>
  <si>
    <t>15¹⁵</t>
  </si>
  <si>
    <t>Johan Zarco</t>
  </si>
  <si>
    <t>Honda LCR</t>
  </si>
  <si>
    <t>14¹⁸</t>
  </si>
  <si>
    <t>10¹⁵</t>
  </si>
  <si>
    <t>Somkiat Chantra</t>
  </si>
  <si>
    <t>RIT¹⁹</t>
  </si>
  <si>
    <t>21ᴿᴵᵀ</t>
  </si>
  <si>
    <t>17¹⁹</t>
  </si>
  <si>
    <t>Team</t>
  </si>
  <si>
    <t>Punti</t>
  </si>
  <si>
    <t>Costruttori</t>
  </si>
  <si>
    <t>Espargaro =&gt;</t>
  </si>
  <si>
    <t>Oliveira</t>
  </si>
  <si>
    <t>Ducati</t>
  </si>
  <si>
    <t>Nakagamiu =&gt;</t>
  </si>
  <si>
    <t>Chantra</t>
  </si>
  <si>
    <t>Aprilia</t>
  </si>
  <si>
    <t>KTM</t>
  </si>
  <si>
    <t>Yamaha</t>
  </si>
  <si>
    <t>Honda</t>
  </si>
  <si>
    <t>TEMPI IN QUALIFICA</t>
  </si>
  <si>
    <t>CATALONIA</t>
  </si>
  <si>
    <t>POLE POSITION</t>
  </si>
  <si>
    <t>1:28.125</t>
  </si>
  <si>
    <t>1:49.971</t>
  </si>
  <si>
    <t>1:34.619</t>
  </si>
  <si>
    <t>2:01.018</t>
  </si>
  <si>
    <t>1:34.712</t>
  </si>
  <si>
    <t>1:29.795</t>
  </si>
  <si>
    <t>1:37.099</t>
  </si>
  <si>
    <t>1:45.059</t>
  </si>
  <si>
    <t>1:51.716 (20)</t>
  </si>
  <si>
    <t>1:35.142 (9)</t>
  </si>
  <si>
    <t>2:01.019 (2)</t>
  </si>
  <si>
    <t>1:45.257 (3)</t>
  </si>
  <si>
    <t>1:29.273 (14)</t>
  </si>
  <si>
    <t>1:53.051 (22)</t>
  </si>
  <si>
    <t>1:36.179 (22)</t>
  </si>
  <si>
    <t>2:03.555 (22)</t>
  </si>
  <si>
    <t>1:37.018 (22)</t>
  </si>
  <si>
    <t>1:30.396 (14)</t>
  </si>
  <si>
    <t>1:38.567 (14)</t>
  </si>
  <si>
    <t>1:46.363 (21)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</si>
</sst>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5.0"/>
      <color theme="1"/>
      <name val="Arial"/>
    </font>
    <font/>
    <font>
      <color theme="1"/>
      <name val="Arial"/>
    </font>
    <font>
      <b/>
      <color theme="1"/>
      <name val="Arial"/>
    </font>
    <font>
      <b/>
      <color rgb="FF202122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0" fillId="0" fontId="3" numFmtId="0" xfId="0" applyAlignment="1" applyFont="1">
      <alignment horizontal="right" vertical="bottom"/>
    </xf>
    <xf borderId="0" fillId="2" fontId="4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vertical="bottom"/>
    </xf>
    <xf borderId="3" fillId="0" fontId="2" numFmtId="0" xfId="0" applyBorder="1" applyFont="1"/>
    <xf borderId="0" fillId="4" fontId="4" numFmtId="0" xfId="0" applyAlignment="1" applyFill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0" fillId="5" fontId="4" numFmtId="0" xfId="0" applyAlignment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readingOrder="0" vertical="bottom"/>
    </xf>
    <xf borderId="0" fillId="6" fontId="4" numFmtId="0" xfId="0" applyAlignment="1" applyFill="1" applyFont="1">
      <alignment horizontal="center" vertical="bottom"/>
    </xf>
    <xf borderId="6" fillId="0" fontId="6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/>
    </xf>
    <xf borderId="0" fillId="4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6" fillId="0" fontId="6" numFmtId="0" xfId="0" applyAlignment="1" applyBorder="1" applyFont="1">
      <alignment horizontal="center"/>
    </xf>
    <xf borderId="0" fillId="7" fontId="4" numFmtId="0" xfId="0" applyAlignment="1" applyFill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6" fillId="6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5" fontId="4" numFmtId="0" xfId="0" applyAlignment="1" applyFont="1">
      <alignment horizontal="center" readingOrder="0" vertical="bottom"/>
    </xf>
    <xf borderId="0" fillId="7" fontId="4" numFmtId="0" xfId="0" applyAlignment="1" applyFont="1">
      <alignment horizontal="center" vertical="bottom"/>
    </xf>
    <xf borderId="0" fillId="2" fontId="8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6" fillId="0" fontId="6" numFmtId="0" xfId="0" applyAlignment="1" applyBorder="1" applyFont="1">
      <alignment readingOrder="0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15.63"/>
    <col customWidth="1" min="10" max="10" width="13.63"/>
    <col customWidth="1" min="14" max="14" width="15.0"/>
    <col customWidth="1" min="15" max="15" width="12.25"/>
    <col customWidth="1" min="16" max="16" width="15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>
        <v>25.0</v>
      </c>
      <c r="AA1" s="4">
        <v>12.0</v>
      </c>
      <c r="AB1" s="5">
        <v>1.0</v>
      </c>
    </row>
    <row r="2">
      <c r="A2" s="6"/>
      <c r="Z2" s="3">
        <v>20.0</v>
      </c>
      <c r="AA2" s="4">
        <v>9.0</v>
      </c>
      <c r="AB2" s="7">
        <v>2.0</v>
      </c>
    </row>
    <row r="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">
        <v>16.0</v>
      </c>
      <c r="AA3" s="4">
        <v>7.0</v>
      </c>
      <c r="AB3" s="10">
        <v>3.0</v>
      </c>
    </row>
    <row r="4">
      <c r="A4" s="11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3" t="s">
        <v>7</v>
      </c>
      <c r="H4" s="11" t="s">
        <v>8</v>
      </c>
      <c r="I4" s="11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3" t="s">
        <v>19</v>
      </c>
      <c r="T4" s="11" t="s">
        <v>20</v>
      </c>
      <c r="U4" s="11" t="s">
        <v>21</v>
      </c>
      <c r="V4" s="11" t="s">
        <v>22</v>
      </c>
      <c r="W4" s="11" t="s">
        <v>23</v>
      </c>
      <c r="X4" s="11" t="s">
        <v>24</v>
      </c>
      <c r="Y4" s="11" t="s">
        <v>25</v>
      </c>
      <c r="Z4" s="3">
        <v>13.0</v>
      </c>
      <c r="AA4" s="4">
        <v>6.0</v>
      </c>
      <c r="AB4" s="14">
        <v>4.0</v>
      </c>
    </row>
    <row r="5">
      <c r="A5" s="15" t="s">
        <v>26</v>
      </c>
      <c r="B5" s="16">
        <f>Z2 + AA1 +Z1 +AA2 + Z6 +AA1 +Z1 + Z2 + AA3 + Z2 + AA2 + Z14 + Z1 + AA3</f>
        <v>203</v>
      </c>
      <c r="C5" s="15" t="s">
        <v>27</v>
      </c>
      <c r="D5" s="17" t="s">
        <v>28</v>
      </c>
      <c r="E5" s="18" t="s">
        <v>29</v>
      </c>
      <c r="F5" s="19" t="s">
        <v>30</v>
      </c>
      <c r="G5" s="19" t="s">
        <v>31</v>
      </c>
      <c r="H5" s="17" t="s">
        <v>32</v>
      </c>
      <c r="I5" s="17" t="s">
        <v>33</v>
      </c>
      <c r="J5" s="18" t="s">
        <v>34</v>
      </c>
      <c r="K5" s="19" t="s">
        <v>35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">
        <v>11.0</v>
      </c>
      <c r="AA5" s="4">
        <v>5.0</v>
      </c>
      <c r="AB5" s="14">
        <v>5.0</v>
      </c>
    </row>
    <row r="6">
      <c r="A6" s="20"/>
      <c r="B6" s="16"/>
      <c r="C6" s="20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3">
        <v>10.0</v>
      </c>
      <c r="AA6" s="4">
        <v>4.0</v>
      </c>
      <c r="AB6" s="14">
        <v>6.0</v>
      </c>
    </row>
    <row r="7">
      <c r="A7" s="15" t="s">
        <v>36</v>
      </c>
      <c r="B7" s="16">
        <f> AA2 +Z6 + AA1 +Z1 +Z5 +AA8 +Z1 + Z1 + AA1 + Z12</f>
        <v>135</v>
      </c>
      <c r="C7" s="15" t="s">
        <v>27</v>
      </c>
      <c r="D7" s="21" t="s">
        <v>37</v>
      </c>
      <c r="E7" s="19" t="s">
        <v>30</v>
      </c>
      <c r="F7" s="18" t="s">
        <v>38</v>
      </c>
      <c r="G7" s="18" t="s">
        <v>29</v>
      </c>
      <c r="H7" s="19" t="s">
        <v>30</v>
      </c>
      <c r="I7" s="19" t="s">
        <v>39</v>
      </c>
      <c r="J7" s="18" t="s">
        <v>40</v>
      </c>
      <c r="K7" s="21" t="s">
        <v>41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3">
        <v>9.0</v>
      </c>
      <c r="AA7" s="4">
        <v>3.0</v>
      </c>
      <c r="AB7" s="18">
        <v>7.0</v>
      </c>
    </row>
    <row r="8">
      <c r="A8" s="20"/>
      <c r="B8" s="16"/>
      <c r="C8" s="20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">
        <v>8.0</v>
      </c>
      <c r="AA8" s="4">
        <v>2.0</v>
      </c>
      <c r="AB8" s="14">
        <v>8.0</v>
      </c>
    </row>
    <row r="9">
      <c r="A9" s="15" t="s">
        <v>42</v>
      </c>
      <c r="B9" s="16">
        <f>AA5 +Z5 +Z9 +Z6 + Z12 + Z15 + Z14</f>
        <v>40</v>
      </c>
      <c r="C9" s="15" t="s">
        <v>43</v>
      </c>
      <c r="D9" s="21" t="s">
        <v>44</v>
      </c>
      <c r="E9" s="21" t="s">
        <v>41</v>
      </c>
      <c r="F9" s="18" t="s">
        <v>45</v>
      </c>
      <c r="G9" s="18" t="s">
        <v>46</v>
      </c>
      <c r="H9" s="18" t="s">
        <v>47</v>
      </c>
      <c r="I9" s="18" t="s">
        <v>48</v>
      </c>
      <c r="J9" s="18" t="s">
        <v>49</v>
      </c>
      <c r="K9" s="18" t="s">
        <v>50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3">
        <v>7.0</v>
      </c>
      <c r="AA9" s="4">
        <v>1.0</v>
      </c>
      <c r="AB9" s="14">
        <v>9.0</v>
      </c>
    </row>
    <row r="10">
      <c r="A10" s="20"/>
      <c r="B10" s="16"/>
      <c r="C10" s="2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3">
        <v>6.0</v>
      </c>
      <c r="AA10" s="22"/>
      <c r="AB10" s="14">
        <v>10.0</v>
      </c>
    </row>
    <row r="11">
      <c r="A11" s="15" t="s">
        <v>51</v>
      </c>
      <c r="B11" s="16">
        <f>Z9 + Z1 + AA3 + AA1</f>
        <v>51</v>
      </c>
      <c r="C11" s="15" t="s">
        <v>43</v>
      </c>
      <c r="D11" s="18" t="s">
        <v>45</v>
      </c>
      <c r="E11" s="21" t="s">
        <v>41</v>
      </c>
      <c r="F11" s="21" t="s">
        <v>41</v>
      </c>
      <c r="G11" s="21" t="s">
        <v>41</v>
      </c>
      <c r="H11" s="21" t="s">
        <v>41</v>
      </c>
      <c r="I11" s="21" t="s">
        <v>41</v>
      </c>
      <c r="J11" s="19" t="s">
        <v>35</v>
      </c>
      <c r="K11" s="21" t="s">
        <v>52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3">
        <v>5.0</v>
      </c>
      <c r="AA11" s="22"/>
      <c r="AB11" s="14">
        <v>11.0</v>
      </c>
    </row>
    <row r="12">
      <c r="A12" s="20"/>
      <c r="B12" s="16"/>
      <c r="C12" s="20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3">
        <v>4.0</v>
      </c>
      <c r="AA12" s="22"/>
      <c r="AB12" s="14">
        <v>12.0</v>
      </c>
    </row>
    <row r="13">
      <c r="A13" s="15" t="s">
        <v>53</v>
      </c>
      <c r="B13" s="16">
        <f>Z13 + AA5 + Z7 +AA5 +Z15 + AA5 + Z8 + AA7 + Z4 + AA5 + Z15</f>
        <v>58</v>
      </c>
      <c r="C13" s="15" t="s">
        <v>54</v>
      </c>
      <c r="D13" s="21" t="s">
        <v>55</v>
      </c>
      <c r="E13" s="18" t="s">
        <v>56</v>
      </c>
      <c r="F13" s="18" t="s">
        <v>57</v>
      </c>
      <c r="G13" s="23" t="s">
        <v>58</v>
      </c>
      <c r="H13" s="24" t="s">
        <v>59</v>
      </c>
      <c r="I13" s="18" t="s">
        <v>60</v>
      </c>
      <c r="J13" s="18" t="s">
        <v>61</v>
      </c>
      <c r="K13" s="18" t="s">
        <v>62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3">
        <v>3.0</v>
      </c>
      <c r="AA13" s="22"/>
      <c r="AB13" s="14">
        <v>13.0</v>
      </c>
    </row>
    <row r="14">
      <c r="A14" s="20"/>
      <c r="B14" s="16"/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3">
        <v>2.0</v>
      </c>
      <c r="AA14" s="22"/>
      <c r="AB14" s="14">
        <v>14.0</v>
      </c>
    </row>
    <row r="15">
      <c r="A15" s="15" t="s">
        <v>63</v>
      </c>
      <c r="B15" s="16">
        <f>Z11 +AA6 +Z8 +Z13 +AA3 +Z8 +AA2 +Z3 + Z10 + AA9 + Z7</f>
        <v>76</v>
      </c>
      <c r="C15" s="15" t="s">
        <v>54</v>
      </c>
      <c r="D15" s="18" t="s">
        <v>64</v>
      </c>
      <c r="E15" s="23" t="s">
        <v>65</v>
      </c>
      <c r="F15" s="18" t="s">
        <v>66</v>
      </c>
      <c r="G15" s="18" t="s">
        <v>67</v>
      </c>
      <c r="H15" s="25" t="s">
        <v>68</v>
      </c>
      <c r="I15" s="18" t="s">
        <v>69</v>
      </c>
      <c r="J15" s="24" t="s">
        <v>70</v>
      </c>
      <c r="K15" s="18" t="s">
        <v>71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3">
        <v>1.0</v>
      </c>
      <c r="AA15" s="22"/>
      <c r="AB15" s="14">
        <v>15.0</v>
      </c>
    </row>
    <row r="16">
      <c r="A16" s="20"/>
      <c r="B16" s="16"/>
      <c r="C16" s="2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AA16" s="22"/>
      <c r="AB16" s="26" t="s">
        <v>72</v>
      </c>
    </row>
    <row r="17">
      <c r="A17" s="15" t="s">
        <v>73</v>
      </c>
      <c r="B17" s="16">
        <f> Z1 +AA3 +Z10 +AA2 +Z4 +AA6 +Z4 +AA1 + Z3 + AA8 + Z2 + AA6</f>
        <v>131</v>
      </c>
      <c r="C17" s="15" t="s">
        <v>74</v>
      </c>
      <c r="D17" s="19" t="s">
        <v>35</v>
      </c>
      <c r="E17" s="18" t="s">
        <v>75</v>
      </c>
      <c r="F17" s="18" t="s">
        <v>76</v>
      </c>
      <c r="G17" s="21" t="s">
        <v>41</v>
      </c>
      <c r="H17" s="18" t="s">
        <v>77</v>
      </c>
      <c r="I17" s="25" t="s">
        <v>78</v>
      </c>
      <c r="J17" s="21" t="s">
        <v>41</v>
      </c>
      <c r="K17" s="17" t="s">
        <v>79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20"/>
      <c r="B18" s="16"/>
      <c r="C18" s="20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15" t="s">
        <v>80</v>
      </c>
      <c r="B19" s="16">
        <f>Z2 +AA8 + Z5 +AA6 +Z2 +Z7 + Z7 +AA4</f>
        <v>81</v>
      </c>
      <c r="C19" s="15" t="s">
        <v>74</v>
      </c>
      <c r="D19" s="24" t="s">
        <v>81</v>
      </c>
      <c r="E19" s="18" t="s">
        <v>82</v>
      </c>
      <c r="F19" s="17" t="s">
        <v>83</v>
      </c>
      <c r="G19" s="17" t="s">
        <v>84</v>
      </c>
      <c r="H19" s="18" t="s">
        <v>85</v>
      </c>
      <c r="I19" s="18" t="s">
        <v>86</v>
      </c>
      <c r="J19" s="24" t="s">
        <v>87</v>
      </c>
      <c r="K19" s="21" t="s">
        <v>41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20"/>
      <c r="B20" s="16"/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15" t="s">
        <v>88</v>
      </c>
      <c r="B21" s="16">
        <f> Z3 +AA8</f>
        <v>18</v>
      </c>
      <c r="C21" s="15" t="s">
        <v>89</v>
      </c>
      <c r="D21" s="21" t="s">
        <v>90</v>
      </c>
      <c r="E21" s="24" t="s">
        <v>91</v>
      </c>
      <c r="F21" s="24" t="s">
        <v>92</v>
      </c>
      <c r="G21" s="21" t="s">
        <v>41</v>
      </c>
      <c r="H21" s="24" t="s">
        <v>93</v>
      </c>
      <c r="I21" s="21" t="s">
        <v>41</v>
      </c>
      <c r="J21" s="25" t="s">
        <v>78</v>
      </c>
      <c r="K21" s="24" t="s">
        <v>94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20"/>
      <c r="B22" s="16"/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15" t="s">
        <v>95</v>
      </c>
      <c r="B23" s="16">
        <f>Z6 +Z14 +Z3 + Z5 + AA5 + Z8 + AA7 + Z5</f>
        <v>66</v>
      </c>
      <c r="C23" s="15" t="s">
        <v>89</v>
      </c>
      <c r="D23" s="18" t="s">
        <v>96</v>
      </c>
      <c r="E23" s="18" t="s">
        <v>97</v>
      </c>
      <c r="F23" s="25" t="s">
        <v>68</v>
      </c>
      <c r="G23" s="24" t="s">
        <v>98</v>
      </c>
      <c r="H23" s="24" t="s">
        <v>99</v>
      </c>
      <c r="I23" s="18" t="s">
        <v>100</v>
      </c>
      <c r="J23" s="18" t="s">
        <v>60</v>
      </c>
      <c r="K23" s="18" t="s">
        <v>101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20"/>
      <c r="B24" s="16"/>
      <c r="C24" s="20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15" t="s">
        <v>102</v>
      </c>
      <c r="B25" s="16">
        <f>AA4 + Z15 +Z7 +Z5 + AA3 + Z5 + AA6</f>
        <v>49</v>
      </c>
      <c r="C25" s="15" t="s">
        <v>103</v>
      </c>
      <c r="D25" s="21" t="s">
        <v>104</v>
      </c>
      <c r="E25" s="18" t="s">
        <v>105</v>
      </c>
      <c r="F25" s="18" t="s">
        <v>106</v>
      </c>
      <c r="G25" s="21" t="s">
        <v>41</v>
      </c>
      <c r="H25" s="18" t="s">
        <v>107</v>
      </c>
      <c r="I25" s="21" t="s">
        <v>108</v>
      </c>
      <c r="J25" s="18" t="s">
        <v>82</v>
      </c>
      <c r="K25" s="24" t="s">
        <v>109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20"/>
      <c r="B26" s="16"/>
      <c r="C26" s="20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15" t="s">
        <v>110</v>
      </c>
      <c r="B27" s="16">
        <f>AA9 +Z7 +AA7 +Z15 + Z3 + AA9 +Z12 +AA9 + Z13 + AA2 + Z13 + Z11 + AA9 + Z3 + AA2</f>
        <v>82</v>
      </c>
      <c r="C27" s="15" t="s">
        <v>103</v>
      </c>
      <c r="D27" s="23" t="s">
        <v>111</v>
      </c>
      <c r="E27" s="25" t="s">
        <v>112</v>
      </c>
      <c r="F27" s="18" t="s">
        <v>113</v>
      </c>
      <c r="G27" s="18" t="s">
        <v>114</v>
      </c>
      <c r="H27" s="23" t="s">
        <v>115</v>
      </c>
      <c r="I27" s="23" t="s">
        <v>116</v>
      </c>
      <c r="J27" s="18" t="s">
        <v>117</v>
      </c>
      <c r="K27" s="25" t="s">
        <v>118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20"/>
      <c r="B28" s="16"/>
      <c r="C28" s="20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15" t="s">
        <v>119</v>
      </c>
      <c r="B29" s="16">
        <f>Z8 +Z9 + Z4 + AA4 +AA7 +Z10 + Z9 + Z7 + AA1 + Z6</f>
        <v>81</v>
      </c>
      <c r="C29" s="15" t="s">
        <v>120</v>
      </c>
      <c r="D29" s="18" t="s">
        <v>67</v>
      </c>
      <c r="E29" s="18" t="s">
        <v>121</v>
      </c>
      <c r="F29" s="27" t="s">
        <v>122</v>
      </c>
      <c r="G29" s="18" t="s">
        <v>45</v>
      </c>
      <c r="H29" s="18" t="s">
        <v>123</v>
      </c>
      <c r="I29" s="18" t="s">
        <v>45</v>
      </c>
      <c r="J29" s="18" t="s">
        <v>124</v>
      </c>
      <c r="K29" s="18" t="s">
        <v>125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20"/>
      <c r="B30" s="16"/>
      <c r="C30" s="20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15" t="s">
        <v>126</v>
      </c>
      <c r="B31" s="16">
        <f>Z10+AA8 +Z12 +AA8 + Z9 + AA5 + Z2 + AA4 + Z8</f>
        <v>60</v>
      </c>
      <c r="C31" s="15" t="s">
        <v>120</v>
      </c>
      <c r="D31" s="18" t="s">
        <v>127</v>
      </c>
      <c r="E31" s="18" t="s">
        <v>128</v>
      </c>
      <c r="F31" s="24" t="s">
        <v>129</v>
      </c>
      <c r="G31" s="24" t="s">
        <v>130</v>
      </c>
      <c r="H31" s="18" t="s">
        <v>131</v>
      </c>
      <c r="I31" s="24" t="s">
        <v>91</v>
      </c>
      <c r="J31" s="17" t="s">
        <v>132</v>
      </c>
      <c r="K31" s="18" t="s">
        <v>133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20"/>
      <c r="B32" s="16"/>
      <c r="C32" s="20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5" t="s">
        <v>134</v>
      </c>
      <c r="B33" s="16">
        <f>Z3+AA7 +Z12 +Z9 +Z14 +AA4 +Z12 + AA9 + Z14 + AA6 + Z9 + Z12</f>
        <v>60</v>
      </c>
      <c r="C33" s="15" t="s">
        <v>135</v>
      </c>
      <c r="D33" s="25" t="s">
        <v>136</v>
      </c>
      <c r="E33" s="18" t="s">
        <v>45</v>
      </c>
      <c r="F33" s="18" t="s">
        <v>137</v>
      </c>
      <c r="G33" s="18" t="s">
        <v>138</v>
      </c>
      <c r="H33" s="18" t="s">
        <v>113</v>
      </c>
      <c r="I33" s="18" t="s">
        <v>139</v>
      </c>
      <c r="J33" s="18" t="s">
        <v>45</v>
      </c>
      <c r="K33" s="18" t="s">
        <v>48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20"/>
      <c r="B34" s="16"/>
      <c r="C34" s="20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15" t="s">
        <v>140</v>
      </c>
      <c r="B35" s="16">
        <f>Z4 +Z3 +Z11 + Z6 +AA3 + Z15 + AA7 + Z13 + Z9</f>
        <v>65</v>
      </c>
      <c r="C35" s="15" t="s">
        <v>135</v>
      </c>
      <c r="D35" s="18" t="s">
        <v>141</v>
      </c>
      <c r="E35" s="18" t="s">
        <v>142</v>
      </c>
      <c r="F35" s="18" t="s">
        <v>143</v>
      </c>
      <c r="G35" s="25" t="s">
        <v>144</v>
      </c>
      <c r="H35" s="18" t="s">
        <v>145</v>
      </c>
      <c r="I35" s="21" t="s">
        <v>41</v>
      </c>
      <c r="J35" s="23" t="s">
        <v>146</v>
      </c>
      <c r="K35" s="18" t="s">
        <v>45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20"/>
      <c r="B36" s="16"/>
      <c r="C36" s="20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15" t="s">
        <v>147</v>
      </c>
      <c r="B37" s="16">
        <f>Z5 +Z15 +Z8 +Z10 +Z11 + AA6 + Z4</f>
        <v>48</v>
      </c>
      <c r="C37" s="15" t="s">
        <v>148</v>
      </c>
      <c r="D37" s="18" t="s">
        <v>46</v>
      </c>
      <c r="E37" s="18" t="s">
        <v>67</v>
      </c>
      <c r="F37" s="18" t="s">
        <v>149</v>
      </c>
      <c r="G37" s="18" t="s">
        <v>150</v>
      </c>
      <c r="H37" s="18" t="s">
        <v>64</v>
      </c>
      <c r="I37" s="18" t="s">
        <v>151</v>
      </c>
      <c r="J37" s="24" t="s">
        <v>152</v>
      </c>
      <c r="K37" s="24" t="s">
        <v>81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20"/>
      <c r="B38" s="16"/>
      <c r="C38" s="20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5" t="s">
        <v>153</v>
      </c>
      <c r="B39" s="16">
        <f> Z7 +Z4 +AA3 +Z2 +AA7 +Z13 +AA1 +Z8 + AA8 + Z6 + Z10 + AA2 + Z4 + AA5</f>
        <v>120</v>
      </c>
      <c r="C39" s="15" t="s">
        <v>148</v>
      </c>
      <c r="D39" s="18" t="s">
        <v>71</v>
      </c>
      <c r="E39" s="17" t="s">
        <v>154</v>
      </c>
      <c r="F39" s="23" t="s">
        <v>155</v>
      </c>
      <c r="G39" s="18" t="s">
        <v>156</v>
      </c>
      <c r="H39" s="18" t="s">
        <v>157</v>
      </c>
      <c r="I39" s="18" t="s">
        <v>47</v>
      </c>
      <c r="J39" s="18" t="s">
        <v>75</v>
      </c>
      <c r="K39" s="18" t="s">
        <v>61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20"/>
      <c r="B40" s="16"/>
      <c r="C40" s="20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5" t="s">
        <v>158</v>
      </c>
      <c r="B41" s="16">
        <f>Z13 + Z14 + AA9 + Z14 + AA4 + Z6 + Z11</f>
        <v>29</v>
      </c>
      <c r="C41" s="15" t="s">
        <v>159</v>
      </c>
      <c r="D41" s="23" t="s">
        <v>146</v>
      </c>
      <c r="E41" s="21" t="s">
        <v>41</v>
      </c>
      <c r="F41" s="24" t="s">
        <v>160</v>
      </c>
      <c r="G41" s="18" t="s">
        <v>161</v>
      </c>
      <c r="H41" s="18" t="s">
        <v>137</v>
      </c>
      <c r="I41" s="24" t="s">
        <v>109</v>
      </c>
      <c r="J41" s="18" t="s">
        <v>162</v>
      </c>
      <c r="K41" s="18" t="s">
        <v>163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20"/>
      <c r="B42" s="16"/>
      <c r="C42" s="20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5" t="s">
        <v>164</v>
      </c>
      <c r="B43" s="16">
        <f>Z12 +Z11 +Z11 + Z15</f>
        <v>15</v>
      </c>
      <c r="C43" s="15" t="s">
        <v>159</v>
      </c>
      <c r="D43" s="18" t="s">
        <v>165</v>
      </c>
      <c r="E43" s="21" t="s">
        <v>41</v>
      </c>
      <c r="F43" s="18" t="s">
        <v>166</v>
      </c>
      <c r="G43" s="18" t="s">
        <v>167</v>
      </c>
      <c r="H43" s="24" t="s">
        <v>168</v>
      </c>
      <c r="I43" s="18" t="s">
        <v>169</v>
      </c>
      <c r="J43" s="21" t="s">
        <v>41</v>
      </c>
      <c r="K43" s="23" t="s">
        <v>146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20"/>
      <c r="B44" s="16"/>
      <c r="C44" s="20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5" t="s">
        <v>170</v>
      </c>
      <c r="B45" s="16">
        <f>Z14 + Z10 + Z11 + Z10 + AA8</f>
        <v>21</v>
      </c>
      <c r="C45" s="15" t="s">
        <v>171</v>
      </c>
      <c r="D45" s="23" t="s">
        <v>172</v>
      </c>
      <c r="E45" s="21" t="s">
        <v>41</v>
      </c>
      <c r="F45" s="24" t="s">
        <v>59</v>
      </c>
      <c r="G45" s="18" t="s">
        <v>173</v>
      </c>
      <c r="H45" s="21" t="s">
        <v>41</v>
      </c>
      <c r="I45" s="18" t="s">
        <v>163</v>
      </c>
      <c r="J45" s="21" t="s">
        <v>41</v>
      </c>
      <c r="K45" s="18" t="s">
        <v>127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20"/>
      <c r="B46" s="16"/>
      <c r="C46" s="20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15" t="s">
        <v>174</v>
      </c>
      <c r="B47" s="16"/>
      <c r="C47" s="15" t="s">
        <v>171</v>
      </c>
      <c r="D47" s="21" t="s">
        <v>175</v>
      </c>
      <c r="E47" s="21" t="s">
        <v>41</v>
      </c>
      <c r="F47" s="24" t="s">
        <v>176</v>
      </c>
      <c r="G47" s="24" t="s">
        <v>87</v>
      </c>
      <c r="H47" s="21" t="s">
        <v>175</v>
      </c>
      <c r="I47" s="21" t="s">
        <v>41</v>
      </c>
      <c r="J47" s="24" t="s">
        <v>177</v>
      </c>
      <c r="K47" s="24" t="s">
        <v>87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50">
      <c r="A50" s="11" t="s">
        <v>178</v>
      </c>
      <c r="B50" s="11" t="s">
        <v>179</v>
      </c>
      <c r="D50" s="11" t="s">
        <v>180</v>
      </c>
      <c r="E50" s="11" t="s">
        <v>179</v>
      </c>
      <c r="G50" s="28" t="s">
        <v>181</v>
      </c>
      <c r="H50" s="28" t="s">
        <v>182</v>
      </c>
    </row>
    <row r="51">
      <c r="A51" s="15" t="s">
        <v>27</v>
      </c>
      <c r="B51" s="16">
        <f> B5+B7</f>
        <v>338</v>
      </c>
      <c r="D51" s="15" t="s">
        <v>183</v>
      </c>
      <c r="E51" s="20">
        <f>B51+B52+B53</f>
        <v>563</v>
      </c>
      <c r="G51" s="28" t="s">
        <v>184</v>
      </c>
      <c r="H51" s="28" t="s">
        <v>185</v>
      </c>
    </row>
    <row r="52">
      <c r="A52" s="15" t="s">
        <v>43</v>
      </c>
      <c r="B52" s="16">
        <f>B9+B11</f>
        <v>91</v>
      </c>
      <c r="D52" s="15" t="s">
        <v>186</v>
      </c>
      <c r="E52" s="20">
        <f>B54+B55</f>
        <v>296</v>
      </c>
    </row>
    <row r="53">
      <c r="A53" s="15" t="s">
        <v>54</v>
      </c>
      <c r="B53" s="16">
        <f>B13+B15</f>
        <v>134</v>
      </c>
      <c r="D53" s="15" t="s">
        <v>187</v>
      </c>
      <c r="E53" s="20">
        <f>B56+B57</f>
        <v>272</v>
      </c>
    </row>
    <row r="54">
      <c r="A54" s="15" t="s">
        <v>74</v>
      </c>
      <c r="B54" s="16">
        <f>B17+B19</f>
        <v>212</v>
      </c>
      <c r="D54" s="15" t="s">
        <v>188</v>
      </c>
      <c r="E54" s="20">
        <f>B58+B59</f>
        <v>293</v>
      </c>
    </row>
    <row r="55">
      <c r="A55" s="15" t="s">
        <v>89</v>
      </c>
      <c r="B55" s="16">
        <f>B21+B23</f>
        <v>84</v>
      </c>
      <c r="D55" s="15" t="s">
        <v>189</v>
      </c>
      <c r="E55" s="20">
        <f>B60+B61</f>
        <v>65</v>
      </c>
    </row>
    <row r="56">
      <c r="A56" s="15" t="s">
        <v>103</v>
      </c>
      <c r="B56" s="16">
        <f>B25+B27</f>
        <v>131</v>
      </c>
    </row>
    <row r="57">
      <c r="A57" s="15" t="s">
        <v>120</v>
      </c>
      <c r="B57" s="16">
        <f>B29+B31</f>
        <v>141</v>
      </c>
    </row>
    <row r="58">
      <c r="A58" s="15" t="s">
        <v>135</v>
      </c>
      <c r="B58" s="16">
        <f>B33+B35</f>
        <v>125</v>
      </c>
    </row>
    <row r="59">
      <c r="A59" s="15" t="s">
        <v>148</v>
      </c>
      <c r="B59" s="16">
        <f>B37+B39</f>
        <v>168</v>
      </c>
    </row>
    <row r="60">
      <c r="A60" s="15" t="s">
        <v>159</v>
      </c>
      <c r="B60" s="16">
        <f>B41+B43</f>
        <v>44</v>
      </c>
    </row>
    <row r="61">
      <c r="A61" s="15" t="s">
        <v>171</v>
      </c>
      <c r="B61" s="16">
        <f>B45+B47</f>
        <v>21</v>
      </c>
    </row>
    <row r="63">
      <c r="A63" s="29" t="s">
        <v>190</v>
      </c>
      <c r="B63" s="11" t="s">
        <v>4</v>
      </c>
      <c r="C63" s="12" t="s">
        <v>5</v>
      </c>
      <c r="D63" s="13" t="s">
        <v>6</v>
      </c>
      <c r="E63" s="13" t="s">
        <v>7</v>
      </c>
      <c r="F63" s="11" t="s">
        <v>8</v>
      </c>
      <c r="G63" s="11" t="s">
        <v>9</v>
      </c>
      <c r="H63" s="13" t="s">
        <v>191</v>
      </c>
      <c r="I63" s="13" t="s">
        <v>11</v>
      </c>
      <c r="J63" s="13" t="s">
        <v>12</v>
      </c>
      <c r="K63" s="13" t="s">
        <v>13</v>
      </c>
      <c r="L63" s="13" t="s">
        <v>14</v>
      </c>
      <c r="M63" s="13" t="s">
        <v>15</v>
      </c>
      <c r="N63" s="13" t="s">
        <v>16</v>
      </c>
      <c r="O63" s="13" t="s">
        <v>17</v>
      </c>
      <c r="P63" s="13" t="s">
        <v>18</v>
      </c>
      <c r="Q63" s="13" t="s">
        <v>19</v>
      </c>
      <c r="R63" s="11" t="s">
        <v>20</v>
      </c>
      <c r="S63" s="11" t="s">
        <v>21</v>
      </c>
      <c r="T63" s="11" t="s">
        <v>22</v>
      </c>
      <c r="U63" s="11" t="s">
        <v>23</v>
      </c>
      <c r="V63" s="11" t="s">
        <v>24</v>
      </c>
      <c r="W63" s="11" t="s">
        <v>25</v>
      </c>
    </row>
    <row r="64">
      <c r="A64" s="30" t="s">
        <v>192</v>
      </c>
      <c r="B64" s="24" t="s">
        <v>193</v>
      </c>
      <c r="C64" s="24" t="s">
        <v>194</v>
      </c>
      <c r="D64" s="24" t="s">
        <v>195</v>
      </c>
      <c r="E64" s="24" t="s">
        <v>196</v>
      </c>
      <c r="F64" s="24" t="s">
        <v>197</v>
      </c>
      <c r="G64" s="24" t="s">
        <v>198</v>
      </c>
      <c r="H64" s="24" t="s">
        <v>199</v>
      </c>
      <c r="I64" s="24" t="s">
        <v>200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>
      <c r="A65" s="3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>
      <c r="A66" s="30" t="s">
        <v>51</v>
      </c>
      <c r="B66" s="24" t="s">
        <v>193</v>
      </c>
      <c r="C66" s="24" t="s">
        <v>201</v>
      </c>
      <c r="D66" s="24" t="s">
        <v>202</v>
      </c>
      <c r="E66" s="24" t="s">
        <v>203</v>
      </c>
      <c r="F66" s="24" t="s">
        <v>197</v>
      </c>
      <c r="G66" s="24" t="s">
        <v>198</v>
      </c>
      <c r="H66" s="24" t="s">
        <v>199</v>
      </c>
      <c r="I66" s="24" t="s">
        <v>204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>
      <c r="A67" s="3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>
      <c r="A68" s="30" t="s">
        <v>88</v>
      </c>
      <c r="B68" s="24" t="s">
        <v>205</v>
      </c>
      <c r="C68" s="24" t="s">
        <v>206</v>
      </c>
      <c r="D68" s="24" t="s">
        <v>207</v>
      </c>
      <c r="E68" s="24" t="s">
        <v>208</v>
      </c>
      <c r="F68" s="24" t="s">
        <v>209</v>
      </c>
      <c r="G68" s="24" t="s">
        <v>210</v>
      </c>
      <c r="H68" s="24" t="s">
        <v>211</v>
      </c>
      <c r="I68" s="24" t="s">
        <v>212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</sheetData>
  <mergeCells count="1">
    <mergeCell ref="A1:Y3"/>
  </mergeCells>
  <drawing r:id="rId1"/>
</worksheet>
</file>